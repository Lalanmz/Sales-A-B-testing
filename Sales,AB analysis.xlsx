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AB_Tests" sheetId="2" state="visible" r:id="rId4"/>
    <sheet name="KPI_Dashboard" sheetId="3" state="visible" r:id="rId5"/>
    <sheet name="Monthly_Report" sheetId="4" state="visible" r:id="rId6"/>
    <sheet name="Action_Plan" sheetId="5" state="visible" r:id="rId7"/>
  </sheets>
  <definedNames>
    <definedName function="false" hidden="true" localSheetId="0" name="_xlnm._FilterDatabase" vbProcedure="false">Sales_Data!$A$1:$M$620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<sst xmlns="http://schemas.openxmlformats.org/spreadsheetml/2006/main" count="3859" uniqueCount="215">
  <si>
    <t xml:space="preserve">ID</t>
  </si>
  <si>
    <t xml:space="preserve">Date</t>
  </si>
  <si>
    <t xml:space="preserve">Month</t>
  </si>
  <si>
    <t xml:space="preserve">Product</t>
  </si>
  <si>
    <t xml:space="preserve">Channel</t>
  </si>
  <si>
    <t xml:space="preserve">Region</t>
  </si>
  <si>
    <t xml:space="preserve">Salesperson</t>
  </si>
  <si>
    <t xml:space="preserve">Leads</t>
  </si>
  <si>
    <t xml:space="preserve">Deals</t>
  </si>
  <si>
    <t xml:space="preserve">Sales_AZN</t>
  </si>
  <si>
    <t xml:space="preserve">Revenue_AZN</t>
  </si>
  <si>
    <t xml:space="preserve">Conv_Rate</t>
  </si>
  <si>
    <t xml:space="preserve">Avg_Ticket</t>
  </si>
  <si>
    <t xml:space="preserve">2026-01-01</t>
  </si>
  <si>
    <t xml:space="preserve">2026-01</t>
  </si>
  <si>
    <t xml:space="preserve">İdman Malları</t>
  </si>
  <si>
    <t xml:space="preserve">Mağaza</t>
  </si>
  <si>
    <t xml:space="preserve">Digər</t>
  </si>
  <si>
    <t xml:space="preserve">Nigar S.</t>
  </si>
  <si>
    <t xml:space="preserve">Elektronika</t>
  </si>
  <si>
    <t xml:space="preserve">Gəncə</t>
  </si>
  <si>
    <t xml:space="preserve">Aysel H.</t>
  </si>
  <si>
    <t xml:space="preserve">Geyim</t>
  </si>
  <si>
    <t xml:space="preserve">Bakı</t>
  </si>
  <si>
    <t xml:space="preserve">Ev Əşyaları</t>
  </si>
  <si>
    <t xml:space="preserve">Online</t>
  </si>
  <si>
    <t xml:space="preserve">Rəşad K.</t>
  </si>
  <si>
    <t xml:space="preserve">Mebel</t>
  </si>
  <si>
    <t xml:space="preserve">Marketplace</t>
  </si>
  <si>
    <t xml:space="preserve">Sumqayıt</t>
  </si>
  <si>
    <t xml:space="preserve">Günel R.</t>
  </si>
  <si>
    <t xml:space="preserve">Orxan T.</t>
  </si>
  <si>
    <t xml:space="preserve">2026-01-02</t>
  </si>
  <si>
    <t xml:space="preserve">Call Center</t>
  </si>
  <si>
    <t xml:space="preserve">Elvin M.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</si>
  <si>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</si>
  <si>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</si>
  <si>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</si>
  <si>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</si>
  <si>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</si>
  <si>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</si>
  <si>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</si>
  <si>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</si>
  <si>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</si>
  <si>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</si>
  <si>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</si>
  <si>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</si>
  <si>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</si>
  <si>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</si>
  <si>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</si>
  <si>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</si>
  <si>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</si>
  <si>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</si>
  <si>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</si>
  <si>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</si>
  <si>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</si>
  <si>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</si>
  <si>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</si>
  <si>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</si>
  <si>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</si>
  <si>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</si>
  <si>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</si>
  <si>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</si>
  <si>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</si>
  <si>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2026-02-01</t>
  </si>
  <si>
    <t xml:space="preserve">2026-02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</si>
  <si>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</si>
  <si>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</si>
  <si>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</si>
  <si>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</si>
  <si>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</si>
  <si>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</si>
  <si>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</si>
  <si>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</si>
  <si>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</si>
  <si>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</si>
  <si>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</si>
  <si>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</si>
  <si>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</si>
  <si>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</si>
  <si>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</si>
  <si>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</si>
  <si>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</si>
  <si>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</si>
  <si>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</si>
  <si>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</si>
  <si>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</si>
  <si>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</si>
  <si>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</si>
  <si>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</si>
  <si>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</si>
  <si>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</si>
  <si>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</si>
  <si>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2026-03-01</t>
  </si>
  <si>
    <t xml:space="preserve">2026-03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</si>
  <si>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</si>
  <si>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</si>
  <si>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</si>
  <si>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</si>
  <si>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</si>
  <si>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</si>
  <si>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</si>
  <si>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</si>
  <si>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</si>
  <si>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</si>
  <si>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</si>
  <si>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</si>
  <si>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</si>
  <si>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</si>
  <si>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</si>
  <si>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</si>
  <si>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</si>
  <si>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</si>
  <si>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</si>
  <si>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</si>
  <si>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</si>
  <si>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</si>
  <si>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</si>
  <si>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</si>
  <si>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</si>
  <si>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</si>
  <si>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</si>
  <si>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</si>
  <si>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</si>
  <si>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</si>
  <si>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TOTAL</t>
  </si>
  <si>
    <t xml:space="preserve">A/B TEST NƏTİCƏLƏRİ</t>
  </si>
  <si>
    <t xml:space="preserve">Dövr: Yanvar – Mart 2026</t>
  </si>
  <si>
    <t xml:space="preserve">Test adı</t>
  </si>
  <si>
    <t xml:space="preserve">Variant</t>
  </si>
  <si>
    <t xml:space="preserve">Təsvir</t>
  </si>
  <si>
    <t xml:space="preserve">Users</t>
  </si>
  <si>
    <t xml:space="preserve">Conversions</t>
  </si>
  <si>
    <t xml:space="preserve">Conv Rate</t>
  </si>
  <si>
    <t xml:space="preserve">Revenue (AZN)</t>
  </si>
  <si>
    <t xml:space="preserve">Uplift</t>
  </si>
  <si>
    <t xml:space="preserve">p-value</t>
  </si>
  <si>
    <t xml:space="preserve">Significance</t>
  </si>
  <si>
    <t xml:space="preserve">Qərar</t>
  </si>
  <si>
    <t xml:space="preserve">Məhsul Tövsiyəsi</t>
  </si>
  <si>
    <t xml:space="preserve">A</t>
  </si>
  <si>
    <t xml:space="preserve">Standart tövsiyə</t>
  </si>
  <si>
    <t xml:space="preserve">-</t>
  </si>
  <si>
    <t xml:space="preserve">B</t>
  </si>
  <si>
    <t xml:space="preserve">Fərdi tövsiyə</t>
  </si>
  <si>
    <t xml:space="preserve">Yes (99%)</t>
  </si>
  <si>
    <t xml:space="preserve">B qalib → scale et</t>
  </si>
  <si>
    <t xml:space="preserve">Follow-up Kanalı</t>
  </si>
  <si>
    <t xml:space="preserve">SMS xatırlatma</t>
  </si>
  <si>
    <t xml:space="preserve">WhatsApp + Push</t>
  </si>
  <si>
    <t xml:space="preserve">B qalib → keç</t>
  </si>
  <si>
    <t xml:space="preserve">Qeyd: Yaşıl rəng = qalib variant. Conv Rate və Uplift düsturla hesablanıb.</t>
  </si>
  <si>
    <t xml:space="preserve">Necə yaradılıb:</t>
  </si>
  <si>
    <t xml:space="preserve">1. Test nəticələrini cədvəl şəklində yazdım</t>
  </si>
  <si>
    <t xml:space="preserve">2. Conv Rate = Conversions / Users  (düstur)</t>
  </si>
  <si>
    <t xml:space="preserve">3. Uplift = (B rate - A rate) / A rate  (düstur)</t>
  </si>
  <si>
    <t xml:space="preserve">4. Qalib variantı yaşıl rənglə işarələdim</t>
  </si>
  <si>
    <t xml:space="preserve">SATIŞ KPI HESABATI</t>
  </si>
  <si>
    <t xml:space="preserve">Mənbə: Sales_Data sheet  |  Dövr: Yan–Mart 2026</t>
  </si>
  <si>
    <t xml:space="preserve">1. ÜMUMİ GÖSTƏRİCİLƏR</t>
  </si>
  <si>
    <t xml:space="preserve">Göstərici</t>
  </si>
  <si>
    <t xml:space="preserve">Dəyər</t>
  </si>
  <si>
    <t xml:space="preserve">Ümumi Leads</t>
  </si>
  <si>
    <t xml:space="preserve">Ümumi Deals</t>
  </si>
  <si>
    <t xml:space="preserve">Satış Həcmi (AZN)</t>
  </si>
  <si>
    <t xml:space="preserve">Gəlir / Revenue (AZN)</t>
  </si>
  <si>
    <t xml:space="preserve">Conversion Rate</t>
  </si>
  <si>
    <t xml:space="preserve">Orta Ticket (AZN)</t>
  </si>
  <si>
    <t xml:space="preserve">2. MƏHSUL ÜZRƏ BÖLGÜ</t>
  </si>
  <si>
    <t xml:space="preserve">Məhsul</t>
  </si>
  <si>
    <t xml:space="preserve">Satış (AZN)</t>
  </si>
  <si>
    <t xml:space="preserve">3. KANAL ÜZRƏ BÖLGÜ</t>
  </si>
  <si>
    <t xml:space="preserve">Kanal</t>
  </si>
  <si>
    <t xml:space="preserve">• Ümumi rəqəmlər → Sales_Data-dan SUM düsturu ilə</t>
  </si>
  <si>
    <t xml:space="preserve">• Məhsul / Kanal cədvəlləri → SUMIF düsturu ilə</t>
  </si>
  <si>
    <t xml:space="preserve">• Conv Rate → Deals / Leads  (sadə bölmə)</t>
  </si>
  <si>
    <t xml:space="preserve">AYLIQ SATIŞ XÜLASƏSİ</t>
  </si>
  <si>
    <t xml:space="preserve">Mənbə: Sales_Data  |  Yanvar – Mart 2026</t>
  </si>
  <si>
    <t xml:space="preserve">Ay</t>
  </si>
  <si>
    <t xml:space="preserve">CƏMİ</t>
  </si>
  <si>
    <t xml:space="preserve">QISA NƏTİCƏ VƏ TÖVSİYƏLƏR</t>
  </si>
  <si>
    <t xml:space="preserve">1. Fərdi məhsul tövsiyəsi (B variantı) daha yaxşı nəticə verdi → bütün kanallara tətbiq etmək olar.</t>
  </si>
  <si>
    <t xml:space="preserve">2. WhatsApp + Push follow-up SMS-dən üstündür → standart follow-up kimi keçirmək məsləhətdir.</t>
  </si>
  <si>
    <t xml:space="preserve">3. Mağaza kanalında conversion Online-dan yüksəkdir. Online təcrübəsini yaxşılaşdırmaq lazımdır.</t>
  </si>
  <si>
    <t xml:space="preserve">4. Mebel kateqoriyasında ticket yüksək, conversion isə aşağıdır → lead keyfiyyətinə diqqət yetirin.</t>
  </si>
  <si>
    <t xml:space="preserve">• Hər ay üçün SUMIF ilə Leads, Deals, Satış və Revenue çəkildi</t>
  </si>
  <si>
    <t xml:space="preserve">• Conv Rate = Deals / Leads düsturu ilə hesablanıb</t>
  </si>
  <si>
    <t xml:space="preserve">• Tövsiyələr A/B test və KPI nəticələrinə əsasən yazılıb</t>
  </si>
  <si>
    <t xml:space="preserve">OPTİMİZASİYA PLANI</t>
  </si>
  <si>
    <t xml:space="preserve">A/B test və KPI nəticələrinə əsasən hazırlanıb</t>
  </si>
  <si>
    <t xml:space="preserve">Prioritet</t>
  </si>
  <si>
    <t xml:space="preserve">Əməliyyat</t>
  </si>
  <si>
    <t xml:space="preserve">Məsul</t>
  </si>
  <si>
    <t xml:space="preserve">Son tarix</t>
  </si>
  <si>
    <t xml:space="preserve">Gözlənilən təsir</t>
  </si>
  <si>
    <t xml:space="preserve">P0</t>
  </si>
  <si>
    <t xml:space="preserve">Fərdi məhsul tövsiyəsini bütün kanallara tətbiq et</t>
  </si>
  <si>
    <t xml:space="preserve">Sales + Digital</t>
  </si>
  <si>
    <t xml:space="preserve">15 May</t>
  </si>
  <si>
    <t xml:space="preserve">+7-9% Conv</t>
  </si>
  <si>
    <t xml:space="preserve">WhatsApp + Push follow-up-u standartlaşdır</t>
  </si>
  <si>
    <t xml:space="preserve">CRM komandası</t>
  </si>
  <si>
    <t xml:space="preserve">20 May</t>
  </si>
  <si>
    <t xml:space="preserve">+10% Revenue</t>
  </si>
  <si>
    <t xml:space="preserve">P1</t>
  </si>
  <si>
    <t xml:space="preserve">Online kanalın conversion-unu artır (UX)</t>
  </si>
  <si>
    <t xml:space="preserve">10 İyun</t>
  </si>
  <si>
    <t xml:space="preserve">+12% Online Conv</t>
  </si>
  <si>
    <t xml:space="preserve">Mebel kateqoriyası üçün lead scoring tətbiq et</t>
  </si>
  <si>
    <t xml:space="preserve">Sales</t>
  </si>
  <si>
    <t xml:space="preserve">15 İyun</t>
  </si>
  <si>
    <t xml:space="preserve">+2-3 pp Conv</t>
  </si>
  <si>
    <t xml:space="preserve">• A/B test qaliblərindən P0 prioritetlər götürüldü</t>
  </si>
  <si>
    <t xml:space="preserve">• KPI-lərdə zəif olan yerlər (Online, Mebel) P1 kimi əlavə edildi</t>
  </si>
  <si>
    <t xml:space="preserve">• Hər əməliyyata məsul şəxs və tarix yazıldı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</si>
</sst>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0%"/>
    <numFmt numFmtId="167" formatCode="General"/>
    <numFmt numFmtId="168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AD3"/>
        <bgColor rgb="FFC6EFCE"/>
      </patternFill>
    </fill>
    <fill>
      <patternFill patternType="solid">
        <fgColor rgb="FFC6EFCE"/>
        <bgColor rgb="FFD9EAD3"/>
      </patternFill>
    </fill>
    <fill>
      <patternFill patternType="solid">
        <fgColor rgb="FFDDEBF7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8"/>
    <col collapsed="false" customWidth="true" hidden="false" outlineLevel="0" max="11" min="10" style="0" width="12"/>
    <col collapsed="false" customWidth="true" hidden="false" outlineLevel="0" max="13" min="12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2" t="n">
        <v>1</v>
      </c>
      <c r="I2" s="2" t="n">
        <v>1</v>
      </c>
      <c r="J2" s="4" t="n">
        <v>207.03</v>
      </c>
      <c r="K2" s="4" t="n">
        <v>63.22</v>
      </c>
      <c r="L2" s="5" t="n">
        <f aca="false">IF(H2=0,0,I2/H2)</f>
        <v>1</v>
      </c>
      <c r="M2" s="6" t="n">
        <f aca="false">IF(I2=0,0,J2/I2)</f>
        <v>207.03</v>
      </c>
    </row>
    <row r="3" customFormat="false" ht="15" hidden="false" customHeight="false" outlineLevel="0" collapsed="false">
      <c r="A3" s="2" t="n">
        <v>2</v>
      </c>
      <c r="B3" s="3" t="s">
        <v>13</v>
      </c>
      <c r="C3" s="3" t="s">
        <v>14</v>
      </c>
      <c r="D3" s="3" t="s">
        <v>19</v>
      </c>
      <c r="E3" s="3" t="s">
        <v>16</v>
      </c>
      <c r="F3" s="3" t="s">
        <v>20</v>
      </c>
      <c r="G3" s="3" t="s">
        <v>21</v>
      </c>
      <c r="H3" s="2" t="n">
        <v>9</v>
      </c>
      <c r="I3" s="2" t="n">
        <v>0</v>
      </c>
      <c r="J3" s="4" t="n">
        <v>0</v>
      </c>
      <c r="K3" s="4" t="n">
        <v>0</v>
      </c>
      <c r="L3" s="5" t="n">
        <f aca="false">IF(H3=0,0,I3/H3)</f>
        <v>0</v>
      </c>
      <c r="M3" s="6" t="n">
        <f aca="false">IF(I3=0,0,J3/I3)</f>
        <v>0</v>
      </c>
    </row>
    <row r="4" customFormat="false" ht="15" hidden="false" customHeight="false" outlineLevel="0" collapsed="false">
      <c r="A4" s="2" t="n">
        <v>3</v>
      </c>
      <c r="B4" s="3" t="s">
        <v>13</v>
      </c>
      <c r="C4" s="3" t="s">
        <v>14</v>
      </c>
      <c r="D4" s="3" t="s">
        <v>22</v>
      </c>
      <c r="E4" s="3" t="s">
        <v>16</v>
      </c>
      <c r="F4" s="3" t="s">
        <v>23</v>
      </c>
      <c r="G4" s="3" t="s">
        <v>18</v>
      </c>
      <c r="H4" s="2" t="n">
        <v>4</v>
      </c>
      <c r="I4" s="2" t="n">
        <v>1</v>
      </c>
      <c r="J4" s="4" t="n">
        <v>110.57</v>
      </c>
      <c r="K4" s="4" t="n">
        <v>46.59</v>
      </c>
      <c r="L4" s="5" t="n">
        <f aca="false">IF(H4=0,0,I4/H4)</f>
        <v>0.25</v>
      </c>
      <c r="M4" s="6" t="n">
        <f aca="false">IF(I4=0,0,J4/I4)</f>
        <v>110.57</v>
      </c>
    </row>
    <row r="5" customFormat="false" ht="15" hidden="false" customHeight="false" outlineLevel="0" collapsed="false">
      <c r="A5" s="2" t="n">
        <v>4</v>
      </c>
      <c r="B5" s="3" t="s">
        <v>13</v>
      </c>
      <c r="C5" s="3" t="s">
        <v>14</v>
      </c>
      <c r="D5" s="3" t="s">
        <v>24</v>
      </c>
      <c r="E5" s="3" t="s">
        <v>16</v>
      </c>
      <c r="F5" s="3" t="s">
        <v>17</v>
      </c>
      <c r="G5" s="3" t="s">
        <v>21</v>
      </c>
      <c r="H5" s="2" t="n">
        <v>13</v>
      </c>
      <c r="I5" s="2" t="n">
        <v>2</v>
      </c>
      <c r="J5" s="4" t="n">
        <v>470.9</v>
      </c>
      <c r="K5" s="4" t="n">
        <v>108.6</v>
      </c>
      <c r="L5" s="5" t="n">
        <f aca="false">IF(H5=0,0,I5/H5)</f>
        <v>0.153846153846154</v>
      </c>
      <c r="M5" s="6" t="n">
        <f aca="false">IF(I5=0,0,J5/I5)</f>
        <v>235.45</v>
      </c>
    </row>
    <row r="6" customFormat="false" ht="15" hidden="false" customHeight="false" outlineLevel="0" collapsed="false">
      <c r="A6" s="2" t="n">
        <v>5</v>
      </c>
      <c r="B6" s="3" t="s">
        <v>13</v>
      </c>
      <c r="C6" s="3" t="s">
        <v>14</v>
      </c>
      <c r="D6" s="3" t="s">
        <v>22</v>
      </c>
      <c r="E6" s="3" t="s">
        <v>25</v>
      </c>
      <c r="F6" s="3" t="s">
        <v>23</v>
      </c>
      <c r="G6" s="3" t="s">
        <v>26</v>
      </c>
      <c r="H6" s="2" t="n">
        <v>12</v>
      </c>
      <c r="I6" s="2" t="n">
        <v>2</v>
      </c>
      <c r="J6" s="4" t="n">
        <v>254.08</v>
      </c>
      <c r="K6" s="4" t="n">
        <v>104.71</v>
      </c>
      <c r="L6" s="5" t="n">
        <f aca="false">IF(H6=0,0,I6/H6)</f>
        <v>0.166666666666667</v>
      </c>
      <c r="M6" s="6" t="n">
        <f aca="false">IF(I6=0,0,J6/I6)</f>
        <v>127.04</v>
      </c>
    </row>
    <row r="7" customFormat="false" ht="15" hidden="false" customHeight="false" outlineLevel="0" collapsed="false">
      <c r="A7" s="2" t="n">
        <v>6</v>
      </c>
      <c r="B7" s="3" t="s">
        <v>13</v>
      </c>
      <c r="C7" s="3" t="s">
        <v>14</v>
      </c>
      <c r="D7" s="3" t="s">
        <v>27</v>
      </c>
      <c r="E7" s="3" t="s">
        <v>28</v>
      </c>
      <c r="F7" s="3" t="s">
        <v>29</v>
      </c>
      <c r="G7" s="3" t="s">
        <v>30</v>
      </c>
      <c r="H7" s="2" t="n">
        <v>3</v>
      </c>
      <c r="I7" s="2" t="n">
        <v>0</v>
      </c>
      <c r="J7" s="4" t="n">
        <v>0</v>
      </c>
      <c r="K7" s="4" t="n">
        <v>0</v>
      </c>
      <c r="L7" s="5" t="n">
        <f aca="false">IF(H7=0,0,I7/H7)</f>
        <v>0</v>
      </c>
      <c r="M7" s="6" t="n">
        <f aca="false">IF(I7=0,0,J7/I7)</f>
        <v>0</v>
      </c>
    </row>
    <row r="8" customFormat="false" ht="15" hidden="false" customHeight="false" outlineLevel="0" collapsed="false">
      <c r="A8" s="2" t="n">
        <v>7</v>
      </c>
      <c r="B8" s="3" t="s">
        <v>13</v>
      </c>
      <c r="C8" s="3" t="s">
        <v>14</v>
      </c>
      <c r="D8" s="3" t="s">
        <v>24</v>
      </c>
      <c r="E8" s="3" t="s">
        <v>28</v>
      </c>
      <c r="F8" s="3" t="s">
        <v>23</v>
      </c>
      <c r="G8" s="3" t="s">
        <v>31</v>
      </c>
      <c r="H8" s="2" t="n">
        <v>8</v>
      </c>
      <c r="I8" s="2" t="n">
        <v>1</v>
      </c>
      <c r="J8" s="4" t="n">
        <v>274.14</v>
      </c>
      <c r="K8" s="4" t="n">
        <v>72.74</v>
      </c>
      <c r="L8" s="5" t="n">
        <f aca="false">IF(H8=0,0,I8/H8)</f>
        <v>0.125</v>
      </c>
      <c r="M8" s="6" t="n">
        <f aca="false">IF(I8=0,0,J8/I8)</f>
        <v>274.14</v>
      </c>
    </row>
    <row r="9" customFormat="false" ht="15" hidden="false" customHeight="false" outlineLevel="0" collapsed="false">
      <c r="A9" s="2" t="n">
        <v>8</v>
      </c>
      <c r="B9" s="3" t="s">
        <v>13</v>
      </c>
      <c r="C9" s="3" t="s">
        <v>14</v>
      </c>
      <c r="D9" s="3" t="s">
        <v>22</v>
      </c>
      <c r="E9" s="3" t="s">
        <v>16</v>
      </c>
      <c r="F9" s="3" t="s">
        <v>23</v>
      </c>
      <c r="G9" s="3" t="s">
        <v>30</v>
      </c>
      <c r="H9" s="2" t="n">
        <v>4</v>
      </c>
      <c r="I9" s="2" t="n">
        <v>1</v>
      </c>
      <c r="J9" s="4" t="n">
        <v>117.55</v>
      </c>
      <c r="K9" s="4" t="n">
        <v>47.18</v>
      </c>
      <c r="L9" s="5" t="n">
        <f aca="false">IF(H9=0,0,I9/H9)</f>
        <v>0.25</v>
      </c>
      <c r="M9" s="6" t="n">
        <f aca="false">IF(I9=0,0,J9/I9)</f>
        <v>117.55</v>
      </c>
    </row>
    <row r="10" customFormat="false" ht="15" hidden="false" customHeight="false" outlineLevel="0" collapsed="false">
      <c r="A10" s="2" t="n">
        <v>9</v>
      </c>
      <c r="B10" s="3" t="s">
        <v>32</v>
      </c>
      <c r="C10" s="3" t="s">
        <v>14</v>
      </c>
      <c r="D10" s="3" t="s">
        <v>22</v>
      </c>
      <c r="E10" s="3" t="s">
        <v>16</v>
      </c>
      <c r="F10" s="3" t="s">
        <v>20</v>
      </c>
      <c r="G10" s="3" t="s">
        <v>21</v>
      </c>
      <c r="H10" s="2" t="n">
        <v>6</v>
      </c>
      <c r="I10" s="2" t="n">
        <v>2</v>
      </c>
      <c r="J10" s="4" t="n">
        <v>190.67</v>
      </c>
      <c r="K10" s="4" t="n">
        <v>78.41</v>
      </c>
      <c r="L10" s="5" t="n">
        <f aca="false">IF(H10=0,0,I10/H10)</f>
        <v>0.333333333333333</v>
      </c>
      <c r="M10" s="6" t="n">
        <f aca="false">IF(I10=0,0,J10/I10)</f>
        <v>95.335</v>
      </c>
    </row>
    <row r="11" customFormat="false" ht="15" hidden="false" customHeight="false" outlineLevel="0" collapsed="false">
      <c r="A11" s="2" t="n">
        <v>10</v>
      </c>
      <c r="B11" s="3" t="s">
        <v>32</v>
      </c>
      <c r="C11" s="3" t="s">
        <v>14</v>
      </c>
      <c r="D11" s="3" t="s">
        <v>19</v>
      </c>
      <c r="E11" s="3" t="s">
        <v>33</v>
      </c>
      <c r="F11" s="3" t="s">
        <v>23</v>
      </c>
      <c r="G11" s="3" t="s">
        <v>21</v>
      </c>
      <c r="H11" s="2" t="n">
        <v>5</v>
      </c>
      <c r="I11" s="2" t="n">
        <v>1</v>
      </c>
      <c r="J11" s="4" t="n">
        <v>954.26</v>
      </c>
      <c r="K11" s="4" t="n">
        <v>123.26</v>
      </c>
      <c r="L11" s="5" t="n">
        <f aca="false">IF(H11=0,0,I11/H11)</f>
        <v>0.2</v>
      </c>
      <c r="M11" s="6" t="n">
        <f aca="false">IF(I11=0,0,J11/I11)</f>
        <v>954.26</v>
      </c>
    </row>
    <row r="12" customFormat="false" ht="15" hidden="false" customHeight="false" outlineLevel="0" collapsed="false">
      <c r="A12" s="2" t="n">
        <v>11</v>
      </c>
      <c r="B12" s="3" t="s">
        <v>32</v>
      </c>
      <c r="C12" s="3" t="s">
        <v>14</v>
      </c>
      <c r="D12" s="3" t="s">
        <v>24</v>
      </c>
      <c r="E12" s="3" t="s">
        <v>16</v>
      </c>
      <c r="F12" s="3" t="s">
        <v>20</v>
      </c>
      <c r="G12" s="3" t="s">
        <v>18</v>
      </c>
      <c r="H12" s="2" t="n">
        <v>9</v>
      </c>
      <c r="I12" s="2" t="n">
        <v>5</v>
      </c>
      <c r="J12" s="4" t="n">
        <v>1447.81</v>
      </c>
      <c r="K12" s="4" t="n">
        <v>348.1</v>
      </c>
      <c r="L12" s="5" t="n">
        <f aca="false">IF(H12=0,0,I12/H12)</f>
        <v>0.555555555555556</v>
      </c>
      <c r="M12" s="6" t="n">
        <f aca="false">IF(I12=0,0,J12/I12)</f>
        <v>289.562</v>
      </c>
    </row>
    <row r="13" customFormat="false" ht="15" hidden="false" customHeight="false" outlineLevel="0" collapsed="false">
      <c r="A13" s="2" t="n">
        <v>12</v>
      </c>
      <c r="B13" s="3" t="s">
        <v>32</v>
      </c>
      <c r="C13" s="3" t="s">
        <v>14</v>
      </c>
      <c r="D13" s="3" t="s">
        <v>27</v>
      </c>
      <c r="E13" s="3" t="s">
        <v>28</v>
      </c>
      <c r="F13" s="3" t="s">
        <v>20</v>
      </c>
      <c r="G13" s="3" t="s">
        <v>26</v>
      </c>
      <c r="H13" s="2" t="n">
        <v>15</v>
      </c>
      <c r="I13" s="2" t="n">
        <v>1</v>
      </c>
      <c r="J13" s="4" t="n">
        <v>1445.12</v>
      </c>
      <c r="K13" s="4" t="n">
        <v>280.7</v>
      </c>
      <c r="L13" s="5" t="n">
        <f aca="false">IF(H13=0,0,I13/H13)</f>
        <v>0.0666666666666667</v>
      </c>
      <c r="M13" s="6" t="n">
        <f aca="false">IF(I13=0,0,J13/I13)</f>
        <v>1445.12</v>
      </c>
    </row>
    <row r="14" customFormat="false" ht="15" hidden="false" customHeight="false" outlineLevel="0" collapsed="false">
      <c r="A14" s="2" t="n">
        <v>13</v>
      </c>
      <c r="B14" s="3" t="s">
        <v>32</v>
      </c>
      <c r="C14" s="3" t="s">
        <v>14</v>
      </c>
      <c r="D14" s="3" t="s">
        <v>19</v>
      </c>
      <c r="E14" s="3" t="s">
        <v>16</v>
      </c>
      <c r="F14" s="3" t="s">
        <v>23</v>
      </c>
      <c r="G14" s="3" t="s">
        <v>18</v>
      </c>
      <c r="H14" s="2" t="n">
        <v>11</v>
      </c>
      <c r="I14" s="2" t="n">
        <v>1</v>
      </c>
      <c r="J14" s="4" t="n">
        <v>939.09</v>
      </c>
      <c r="K14" s="4" t="n">
        <v>135.03</v>
      </c>
      <c r="L14" s="5" t="n">
        <f aca="false">IF(H14=0,0,I14/H14)</f>
        <v>0.0909090909090909</v>
      </c>
      <c r="M14" s="6" t="n">
        <f aca="false">IF(I14=0,0,J14/I14)</f>
        <v>939.09</v>
      </c>
    </row>
    <row r="15" customFormat="false" ht="15" hidden="false" customHeight="false" outlineLevel="0" collapsed="false">
      <c r="A15" s="2" t="n">
        <v>14</v>
      </c>
      <c r="B15" s="3" t="s">
        <v>32</v>
      </c>
      <c r="C15" s="3" t="s">
        <v>14</v>
      </c>
      <c r="D15" s="3" t="s">
        <v>15</v>
      </c>
      <c r="E15" s="3" t="s">
        <v>16</v>
      </c>
      <c r="F15" s="3" t="s">
        <v>23</v>
      </c>
      <c r="G15" s="3" t="s">
        <v>18</v>
      </c>
      <c r="H15" s="2" t="n">
        <v>6</v>
      </c>
      <c r="I15" s="2" t="n">
        <v>2</v>
      </c>
      <c r="J15" s="4" t="n">
        <v>374.49</v>
      </c>
      <c r="K15" s="4" t="n">
        <v>120.74</v>
      </c>
      <c r="L15" s="5" t="n">
        <f aca="false">IF(H15=0,0,I15/H15)</f>
        <v>0.333333333333333</v>
      </c>
      <c r="M15" s="6" t="n">
        <f aca="false">IF(I15=0,0,J15/I15)</f>
        <v>187.245</v>
      </c>
    </row>
    <row r="16" customFormat="false" ht="15" hidden="false" customHeight="false" outlineLevel="0" collapsed="false">
      <c r="A16" s="2" t="n">
        <v>15</v>
      </c>
      <c r="B16" s="3" t="s">
        <v>32</v>
      </c>
      <c r="C16" s="3" t="s">
        <v>14</v>
      </c>
      <c r="D16" s="3" t="s">
        <v>27</v>
      </c>
      <c r="E16" s="3" t="s">
        <v>28</v>
      </c>
      <c r="F16" s="3" t="s">
        <v>23</v>
      </c>
      <c r="G16" s="3" t="s">
        <v>31</v>
      </c>
      <c r="H16" s="2" t="n">
        <v>7</v>
      </c>
      <c r="I16" s="2" t="n">
        <v>1</v>
      </c>
      <c r="J16" s="4" t="n">
        <v>1373.52</v>
      </c>
      <c r="K16" s="4" t="n">
        <v>237.51</v>
      </c>
      <c r="L16" s="5" t="n">
        <f aca="false">IF(H16=0,0,I16/H16)</f>
        <v>0.142857142857143</v>
      </c>
      <c r="M16" s="6" t="n">
        <f aca="false">IF(I16=0,0,J16/I16)</f>
        <v>1373.52</v>
      </c>
    </row>
    <row r="17" customFormat="false" ht="15" hidden="false" customHeight="false" outlineLevel="0" collapsed="false">
      <c r="A17" s="2" t="n">
        <v>16</v>
      </c>
      <c r="B17" s="3" t="s">
        <v>32</v>
      </c>
      <c r="C17" s="3" t="s">
        <v>14</v>
      </c>
      <c r="D17" s="3" t="s">
        <v>22</v>
      </c>
      <c r="E17" s="3" t="s">
        <v>16</v>
      </c>
      <c r="F17" s="3" t="s">
        <v>17</v>
      </c>
      <c r="G17" s="3" t="s">
        <v>34</v>
      </c>
      <c r="H17" s="2" t="n">
        <v>14</v>
      </c>
      <c r="I17" s="2" t="n">
        <v>2</v>
      </c>
      <c r="J17" s="4" t="n">
        <v>256.33</v>
      </c>
      <c r="K17" s="4" t="n">
        <v>99.67</v>
      </c>
      <c r="L17" s="5" t="n">
        <f aca="false">IF(H17=0,0,I17/H17)</f>
        <v>0.142857142857143</v>
      </c>
      <c r="M17" s="6" t="n">
        <f aca="false">IF(I17=0,0,J17/I17)</f>
        <v>128.165</v>
      </c>
    </row>
    <row r="18" customFormat="false" ht="15" hidden="false" customHeight="false" outlineLevel="0" collapsed="false">
      <c r="A18" s="2" t="n">
        <v>17</v>
      </c>
      <c r="B18" s="3" t="s">
        <v>32</v>
      </c>
      <c r="C18" s="3" t="s">
        <v>14</v>
      </c>
      <c r="D18" s="3" t="s">
        <v>22</v>
      </c>
      <c r="E18" s="3" t="s">
        <v>25</v>
      </c>
      <c r="F18" s="3" t="s">
        <v>23</v>
      </c>
      <c r="G18" s="3" t="s">
        <v>21</v>
      </c>
      <c r="H18" s="2" t="n">
        <v>4</v>
      </c>
      <c r="I18" s="2" t="n">
        <v>2</v>
      </c>
      <c r="J18" s="4" t="n">
        <v>215.84</v>
      </c>
      <c r="K18" s="4" t="n">
        <v>97.4</v>
      </c>
      <c r="L18" s="5" t="n">
        <f aca="false">IF(H18=0,0,I18/H18)</f>
        <v>0.5</v>
      </c>
      <c r="M18" s="6" t="n">
        <f aca="false">IF(I18=0,0,J18/I18)</f>
        <v>107.92</v>
      </c>
    </row>
    <row r="19" customFormat="false" ht="15" hidden="false" customHeight="false" outlineLevel="0" collapsed="false">
      <c r="A19" s="2" t="n">
        <v>18</v>
      </c>
      <c r="B19" s="3" t="s">
        <v>32</v>
      </c>
      <c r="C19" s="3" t="s">
        <v>14</v>
      </c>
      <c r="D19" s="3" t="s">
        <v>22</v>
      </c>
      <c r="E19" s="3" t="s">
        <v>28</v>
      </c>
      <c r="F19" s="3" t="s">
        <v>23</v>
      </c>
      <c r="G19" s="3" t="s">
        <v>30</v>
      </c>
      <c r="H19" s="2" t="n">
        <v>8</v>
      </c>
      <c r="I19" s="2" t="n">
        <v>0</v>
      </c>
      <c r="J19" s="4" t="n">
        <v>0</v>
      </c>
      <c r="K19" s="4" t="n">
        <v>0</v>
      </c>
      <c r="L19" s="5" t="n">
        <f aca="false">IF(H19=0,0,I19/H19)</f>
        <v>0</v>
      </c>
      <c r="M19" s="6" t="n">
        <f aca="false">IF(I19=0,0,J19/I19)</f>
        <v>0</v>
      </c>
    </row>
    <row r="20" customFormat="false" ht="15" hidden="false" customHeight="false" outlineLevel="0" collapsed="false">
      <c r="A20" s="2" t="n">
        <v>19</v>
      </c>
      <c r="B20" s="3" t="s">
        <v>32</v>
      </c>
      <c r="C20" s="3" t="s">
        <v>14</v>
      </c>
      <c r="D20" s="3" t="s">
        <v>24</v>
      </c>
      <c r="E20" s="3" t="s">
        <v>25</v>
      </c>
      <c r="F20" s="3" t="s">
        <v>23</v>
      </c>
      <c r="G20" s="3" t="s">
        <v>34</v>
      </c>
      <c r="H20" s="2" t="n">
        <v>6</v>
      </c>
      <c r="I20" s="2" t="n">
        <v>1</v>
      </c>
      <c r="J20" s="4" t="n">
        <v>322.43</v>
      </c>
      <c r="K20" s="4" t="n">
        <v>74.77</v>
      </c>
      <c r="L20" s="5" t="n">
        <f aca="false">IF(H20=0,0,I20/H20)</f>
        <v>0.166666666666667</v>
      </c>
      <c r="M20" s="6" t="n">
        <f aca="false">IF(I20=0,0,J20/I20)</f>
        <v>322.43</v>
      </c>
    </row>
    <row r="21" customFormat="false" ht="15" hidden="false" customHeight="false" outlineLevel="0" collapsed="false">
      <c r="A21" s="2" t="n">
        <v>20</v>
      </c>
      <c r="B21" s="3" t="s">
        <v>35</v>
      </c>
      <c r="C21" s="3" t="s">
        <v>14</v>
      </c>
      <c r="D21" s="3" t="s">
        <v>22</v>
      </c>
      <c r="E21" s="3" t="s">
        <v>16</v>
      </c>
      <c r="F21" s="3" t="s">
        <v>23</v>
      </c>
      <c r="G21" s="3" t="s">
        <v>30</v>
      </c>
      <c r="H21" s="2" t="n">
        <v>6</v>
      </c>
      <c r="I21" s="2" t="n">
        <v>1</v>
      </c>
      <c r="J21" s="4" t="n">
        <v>130.65</v>
      </c>
      <c r="K21" s="4" t="n">
        <v>56.06</v>
      </c>
      <c r="L21" s="5" t="n">
        <f aca="false">IF(H21=0,0,I21/H21)</f>
        <v>0.166666666666667</v>
      </c>
      <c r="M21" s="6" t="n">
        <f aca="false">IF(I21=0,0,J21/I21)</f>
        <v>130.65</v>
      </c>
    </row>
    <row r="22" customFormat="false" ht="15" hidden="false" customHeight="false" outlineLevel="0" collapsed="false">
      <c r="A22" s="2" t="n">
        <v>21</v>
      </c>
      <c r="B22" s="3" t="s">
        <v>35</v>
      </c>
      <c r="C22" s="3" t="s">
        <v>14</v>
      </c>
      <c r="D22" s="3" t="s">
        <v>19</v>
      </c>
      <c r="E22" s="3" t="s">
        <v>16</v>
      </c>
      <c r="F22" s="3" t="s">
        <v>20</v>
      </c>
      <c r="G22" s="3" t="s">
        <v>21</v>
      </c>
      <c r="H22" s="2" t="n">
        <v>16</v>
      </c>
      <c r="I22" s="2" t="n">
        <v>2</v>
      </c>
      <c r="J22" s="4" t="n">
        <v>1475.64</v>
      </c>
      <c r="K22" s="4" t="n">
        <v>202.53</v>
      </c>
      <c r="L22" s="5" t="n">
        <f aca="false">IF(H22=0,0,I22/H22)</f>
        <v>0.125</v>
      </c>
      <c r="M22" s="6" t="n">
        <f aca="false">IF(I22=0,0,J22/I22)</f>
        <v>737.82</v>
      </c>
    </row>
    <row r="23" customFormat="false" ht="15" hidden="false" customHeight="false" outlineLevel="0" collapsed="false">
      <c r="A23" s="2" t="n">
        <v>22</v>
      </c>
      <c r="B23" s="3" t="s">
        <v>36</v>
      </c>
      <c r="C23" s="3" t="s">
        <v>14</v>
      </c>
      <c r="D23" s="3" t="s">
        <v>24</v>
      </c>
      <c r="E23" s="3" t="s">
        <v>25</v>
      </c>
      <c r="F23" s="3" t="s">
        <v>20</v>
      </c>
      <c r="G23" s="3" t="s">
        <v>30</v>
      </c>
      <c r="H23" s="2" t="n">
        <v>8</v>
      </c>
      <c r="I23" s="2" t="n">
        <v>3</v>
      </c>
      <c r="J23" s="4" t="n">
        <v>1002.76</v>
      </c>
      <c r="K23" s="4" t="n">
        <v>270.36</v>
      </c>
      <c r="L23" s="5" t="n">
        <f aca="false">IF(H23=0,0,I23/H23)</f>
        <v>0.375</v>
      </c>
      <c r="M23" s="6" t="n">
        <f aca="false">IF(I23=0,0,J23/I23)</f>
        <v>334.253333333333</v>
      </c>
    </row>
    <row r="24" customFormat="false" ht="15" hidden="false" customHeight="false" outlineLevel="0" collapsed="false">
      <c r="A24" s="2" t="n">
        <v>23</v>
      </c>
      <c r="B24" s="3" t="s">
        <v>36</v>
      </c>
      <c r="C24" s="3" t="s">
        <v>14</v>
      </c>
      <c r="D24" s="3" t="s">
        <v>22</v>
      </c>
      <c r="E24" s="3" t="s">
        <v>16</v>
      </c>
      <c r="F24" s="3" t="s">
        <v>29</v>
      </c>
      <c r="G24" s="3" t="s">
        <v>30</v>
      </c>
      <c r="H24" s="2" t="n">
        <v>8</v>
      </c>
      <c r="I24" s="2" t="n">
        <v>1</v>
      </c>
      <c r="J24" s="4" t="n">
        <v>93.53</v>
      </c>
      <c r="K24" s="4" t="n">
        <v>42.16</v>
      </c>
      <c r="L24" s="5" t="n">
        <f aca="false">IF(H24=0,0,I24/H24)</f>
        <v>0.125</v>
      </c>
      <c r="M24" s="6" t="n">
        <f aca="false">IF(I24=0,0,J24/I24)</f>
        <v>93.53</v>
      </c>
    </row>
    <row r="25" customFormat="false" ht="15" hidden="false" customHeight="false" outlineLevel="0" collapsed="false">
      <c r="A25" s="2" t="n">
        <v>24</v>
      </c>
      <c r="B25" s="3" t="s">
        <v>37</v>
      </c>
      <c r="C25" s="3" t="s">
        <v>14</v>
      </c>
      <c r="D25" s="3" t="s">
        <v>19</v>
      </c>
      <c r="E25" s="3" t="s">
        <v>28</v>
      </c>
      <c r="F25" s="3" t="s">
        <v>29</v>
      </c>
      <c r="G25" s="3" t="s">
        <v>31</v>
      </c>
      <c r="H25" s="2" t="n">
        <v>12</v>
      </c>
      <c r="I25" s="2" t="n">
        <v>2</v>
      </c>
      <c r="J25" s="4" t="n">
        <v>2108.92</v>
      </c>
      <c r="K25" s="4" t="n">
        <v>278.55</v>
      </c>
      <c r="L25" s="5" t="n">
        <f aca="false">IF(H25=0,0,I25/H25)</f>
        <v>0.166666666666667</v>
      </c>
      <c r="M25" s="6" t="n">
        <f aca="false">IF(I25=0,0,J25/I25)</f>
        <v>1054.46</v>
      </c>
    </row>
    <row r="26" customFormat="false" ht="15" hidden="false" customHeight="false" outlineLevel="0" collapsed="false">
      <c r="A26" s="2" t="n">
        <v>25</v>
      </c>
      <c r="B26" s="3" t="s">
        <v>37</v>
      </c>
      <c r="C26" s="3" t="s">
        <v>14</v>
      </c>
      <c r="D26" s="3" t="s">
        <v>24</v>
      </c>
      <c r="E26" s="3" t="s">
        <v>16</v>
      </c>
      <c r="F26" s="3" t="s">
        <v>20</v>
      </c>
      <c r="G26" s="3" t="s">
        <v>31</v>
      </c>
      <c r="H26" s="2" t="n">
        <v>10</v>
      </c>
      <c r="I26" s="2" t="n">
        <v>2</v>
      </c>
      <c r="J26" s="4" t="n">
        <v>423.5</v>
      </c>
      <c r="K26" s="4" t="n">
        <v>105.34</v>
      </c>
      <c r="L26" s="5" t="n">
        <f aca="false">IF(H26=0,0,I26/H26)</f>
        <v>0.2</v>
      </c>
      <c r="M26" s="6" t="n">
        <f aca="false">IF(I26=0,0,J26/I26)</f>
        <v>211.75</v>
      </c>
    </row>
    <row r="27" customFormat="false" ht="15" hidden="false" customHeight="false" outlineLevel="0" collapsed="false">
      <c r="A27" s="2" t="n">
        <v>26</v>
      </c>
      <c r="B27" s="3" t="s">
        <v>37</v>
      </c>
      <c r="C27" s="3" t="s">
        <v>14</v>
      </c>
      <c r="D27" s="3" t="s">
        <v>19</v>
      </c>
      <c r="E27" s="3" t="s">
        <v>16</v>
      </c>
      <c r="F27" s="3" t="s">
        <v>23</v>
      </c>
      <c r="G27" s="3" t="s">
        <v>34</v>
      </c>
      <c r="H27" s="2" t="n">
        <v>6</v>
      </c>
      <c r="I27" s="2" t="n">
        <v>2</v>
      </c>
      <c r="J27" s="4" t="n">
        <v>2189.34</v>
      </c>
      <c r="K27" s="4" t="n">
        <v>309.25</v>
      </c>
      <c r="L27" s="5" t="n">
        <f aca="false">IF(H27=0,0,I27/H27)</f>
        <v>0.333333333333333</v>
      </c>
      <c r="M27" s="6" t="n">
        <f aca="false">IF(I27=0,0,J27/I27)</f>
        <v>1094.67</v>
      </c>
    </row>
    <row r="28" customFormat="false" ht="15" hidden="false" customHeight="false" outlineLevel="0" collapsed="false">
      <c r="A28" s="2" t="n">
        <v>27</v>
      </c>
      <c r="B28" s="3" t="s">
        <v>37</v>
      </c>
      <c r="C28" s="3" t="s">
        <v>14</v>
      </c>
      <c r="D28" s="3" t="s">
        <v>22</v>
      </c>
      <c r="E28" s="3" t="s">
        <v>16</v>
      </c>
      <c r="F28" s="3" t="s">
        <v>17</v>
      </c>
      <c r="G28" s="3" t="s">
        <v>18</v>
      </c>
      <c r="H28" s="2" t="n">
        <v>9</v>
      </c>
      <c r="I28" s="2" t="n">
        <v>1</v>
      </c>
      <c r="J28" s="4" t="n">
        <v>152.73</v>
      </c>
      <c r="K28" s="4" t="n">
        <v>68.15</v>
      </c>
      <c r="L28" s="5" t="n">
        <f aca="false">IF(H28=0,0,I28/H28)</f>
        <v>0.111111111111111</v>
      </c>
      <c r="M28" s="6" t="n">
        <f aca="false">IF(I28=0,0,J28/I28)</f>
        <v>152.73</v>
      </c>
    </row>
    <row r="29" customFormat="false" ht="15" hidden="false" customHeight="false" outlineLevel="0" collapsed="false">
      <c r="A29" s="2" t="n">
        <v>28</v>
      </c>
      <c r="B29" s="3" t="s">
        <v>37</v>
      </c>
      <c r="C29" s="3" t="s">
        <v>14</v>
      </c>
      <c r="D29" s="3" t="s">
        <v>22</v>
      </c>
      <c r="E29" s="3" t="s">
        <v>25</v>
      </c>
      <c r="F29" s="3" t="s">
        <v>23</v>
      </c>
      <c r="G29" s="3" t="s">
        <v>18</v>
      </c>
      <c r="H29" s="2" t="n">
        <v>6</v>
      </c>
      <c r="I29" s="2" t="n">
        <v>1</v>
      </c>
      <c r="J29" s="4" t="n">
        <v>117.14</v>
      </c>
      <c r="K29" s="4" t="n">
        <v>50.01</v>
      </c>
      <c r="L29" s="5" t="n">
        <f aca="false">IF(H29=0,0,I29/H29)</f>
        <v>0.166666666666667</v>
      </c>
      <c r="M29" s="6" t="n">
        <f aca="false">IF(I29=0,0,J29/I29)</f>
        <v>117.14</v>
      </c>
    </row>
    <row r="30" customFormat="false" ht="15" hidden="false" customHeight="false" outlineLevel="0" collapsed="false">
      <c r="A30" s="2" t="n">
        <v>29</v>
      </c>
      <c r="B30" s="3" t="s">
        <v>37</v>
      </c>
      <c r="C30" s="3" t="s">
        <v>14</v>
      </c>
      <c r="D30" s="3" t="s">
        <v>22</v>
      </c>
      <c r="E30" s="3" t="s">
        <v>16</v>
      </c>
      <c r="F30" s="3" t="s">
        <v>23</v>
      </c>
      <c r="G30" s="3" t="s">
        <v>30</v>
      </c>
      <c r="H30" s="2" t="n">
        <v>6</v>
      </c>
      <c r="I30" s="2" t="n">
        <v>1</v>
      </c>
      <c r="J30" s="4" t="n">
        <v>143.5</v>
      </c>
      <c r="K30" s="4" t="n">
        <v>64.97</v>
      </c>
      <c r="L30" s="5" t="n">
        <f aca="false">IF(H30=0,0,I30/H30)</f>
        <v>0.166666666666667</v>
      </c>
      <c r="M30" s="6" t="n">
        <f aca="false">IF(I30=0,0,J30/I30)</f>
        <v>143.5</v>
      </c>
    </row>
    <row r="31" customFormat="false" ht="15" hidden="false" customHeight="false" outlineLevel="0" collapsed="false">
      <c r="A31" s="2" t="n">
        <v>30</v>
      </c>
      <c r="B31" s="3" t="s">
        <v>37</v>
      </c>
      <c r="C31" s="3" t="s">
        <v>14</v>
      </c>
      <c r="D31" s="3" t="s">
        <v>19</v>
      </c>
      <c r="E31" s="3" t="s">
        <v>25</v>
      </c>
      <c r="F31" s="3" t="s">
        <v>23</v>
      </c>
      <c r="G31" s="3" t="s">
        <v>30</v>
      </c>
      <c r="H31" s="2" t="n">
        <v>3</v>
      </c>
      <c r="I31" s="2" t="n">
        <v>0</v>
      </c>
      <c r="J31" s="4" t="n">
        <v>0</v>
      </c>
      <c r="K31" s="4" t="n">
        <v>0</v>
      </c>
      <c r="L31" s="5" t="n">
        <f aca="false">IF(H31=0,0,I31/H31)</f>
        <v>0</v>
      </c>
      <c r="M31" s="6" t="n">
        <f aca="false">IF(I31=0,0,J31/I31)</f>
        <v>0</v>
      </c>
    </row>
    <row r="32" customFormat="false" ht="15" hidden="false" customHeight="false" outlineLevel="0" collapsed="false">
      <c r="A32" s="2" t="n">
        <v>31</v>
      </c>
      <c r="B32" s="3" t="s">
        <v>37</v>
      </c>
      <c r="C32" s="3" t="s">
        <v>14</v>
      </c>
      <c r="D32" s="3" t="s">
        <v>24</v>
      </c>
      <c r="E32" s="3" t="s">
        <v>33</v>
      </c>
      <c r="F32" s="3" t="s">
        <v>17</v>
      </c>
      <c r="G32" s="3" t="s">
        <v>31</v>
      </c>
      <c r="H32" s="2" t="n">
        <v>6</v>
      </c>
      <c r="I32" s="2" t="n">
        <v>3</v>
      </c>
      <c r="J32" s="4" t="n">
        <v>979.73</v>
      </c>
      <c r="K32" s="4" t="n">
        <v>227.18</v>
      </c>
      <c r="L32" s="5" t="n">
        <f aca="false">IF(H32=0,0,I32/H32)</f>
        <v>0.5</v>
      </c>
      <c r="M32" s="6" t="n">
        <f aca="false">IF(I32=0,0,J32/I32)</f>
        <v>326.576666666667</v>
      </c>
    </row>
    <row r="33" customFormat="false" ht="15" hidden="false" customHeight="false" outlineLevel="0" collapsed="false">
      <c r="A33" s="2" t="n">
        <v>32</v>
      </c>
      <c r="B33" s="3" t="s">
        <v>37</v>
      </c>
      <c r="C33" s="3" t="s">
        <v>14</v>
      </c>
      <c r="D33" s="3" t="s">
        <v>22</v>
      </c>
      <c r="E33" s="3" t="s">
        <v>16</v>
      </c>
      <c r="F33" s="3" t="s">
        <v>23</v>
      </c>
      <c r="G33" s="3" t="s">
        <v>30</v>
      </c>
      <c r="H33" s="2" t="n">
        <v>7</v>
      </c>
      <c r="I33" s="2" t="n">
        <v>3</v>
      </c>
      <c r="J33" s="4" t="n">
        <v>392.82</v>
      </c>
      <c r="K33" s="4" t="n">
        <v>170.37</v>
      </c>
      <c r="L33" s="5" t="n">
        <f aca="false">IF(H33=0,0,I33/H33)</f>
        <v>0.428571428571429</v>
      </c>
      <c r="M33" s="6" t="n">
        <f aca="false">IF(I33=0,0,J33/I33)</f>
        <v>130.94</v>
      </c>
    </row>
    <row r="34" customFormat="false" ht="15" hidden="false" customHeight="false" outlineLevel="0" collapsed="false">
      <c r="A34" s="2" t="n">
        <v>33</v>
      </c>
      <c r="B34" s="3" t="s">
        <v>38</v>
      </c>
      <c r="C34" s="3" t="s">
        <v>14</v>
      </c>
      <c r="D34" s="3" t="s">
        <v>24</v>
      </c>
      <c r="E34" s="3" t="s">
        <v>25</v>
      </c>
      <c r="F34" s="3" t="s">
        <v>23</v>
      </c>
      <c r="G34" s="3" t="s">
        <v>21</v>
      </c>
      <c r="H34" s="2" t="n">
        <v>10</v>
      </c>
      <c r="I34" s="2" t="n">
        <v>5</v>
      </c>
      <c r="J34" s="4" t="n">
        <v>1429.32</v>
      </c>
      <c r="K34" s="4" t="n">
        <v>347.54</v>
      </c>
      <c r="L34" s="5" t="n">
        <f aca="false">IF(H34=0,0,I34/H34)</f>
        <v>0.5</v>
      </c>
      <c r="M34" s="6" t="n">
        <f aca="false">IF(I34=0,0,J34/I34)</f>
        <v>285.864</v>
      </c>
    </row>
    <row r="35" customFormat="false" ht="15" hidden="false" customHeight="false" outlineLevel="0" collapsed="false">
      <c r="A35" s="2" t="n">
        <v>34</v>
      </c>
      <c r="B35" s="3" t="s">
        <v>38</v>
      </c>
      <c r="C35" s="3" t="s">
        <v>14</v>
      </c>
      <c r="D35" s="3" t="s">
        <v>24</v>
      </c>
      <c r="E35" s="3" t="s">
        <v>16</v>
      </c>
      <c r="F35" s="3" t="s">
        <v>23</v>
      </c>
      <c r="G35" s="3" t="s">
        <v>34</v>
      </c>
      <c r="H35" s="2" t="n">
        <v>10</v>
      </c>
      <c r="I35" s="2" t="n">
        <v>3</v>
      </c>
      <c r="J35" s="4" t="n">
        <v>789.43</v>
      </c>
      <c r="K35" s="4" t="n">
        <v>192.55</v>
      </c>
      <c r="L35" s="5" t="n">
        <f aca="false">IF(H35=0,0,I35/H35)</f>
        <v>0.3</v>
      </c>
      <c r="M35" s="6" t="n">
        <f aca="false">IF(I35=0,0,J35/I35)</f>
        <v>263.143333333333</v>
      </c>
    </row>
    <row r="36" customFormat="false" ht="15" hidden="false" customHeight="false" outlineLevel="0" collapsed="false">
      <c r="A36" s="2" t="n">
        <v>35</v>
      </c>
      <c r="B36" s="3" t="s">
        <v>38</v>
      </c>
      <c r="C36" s="3" t="s">
        <v>14</v>
      </c>
      <c r="D36" s="3" t="s">
        <v>19</v>
      </c>
      <c r="E36" s="3" t="s">
        <v>25</v>
      </c>
      <c r="F36" s="3" t="s">
        <v>20</v>
      </c>
      <c r="G36" s="3" t="s">
        <v>18</v>
      </c>
      <c r="H36" s="2" t="n">
        <v>6</v>
      </c>
      <c r="I36" s="2" t="n">
        <v>2</v>
      </c>
      <c r="J36" s="4" t="n">
        <v>2136.02</v>
      </c>
      <c r="K36" s="4" t="n">
        <v>278.04</v>
      </c>
      <c r="L36" s="5" t="n">
        <f aca="false">IF(H36=0,0,I36/H36)</f>
        <v>0.333333333333333</v>
      </c>
      <c r="M36" s="6" t="n">
        <f aca="false">IF(I36=0,0,J36/I36)</f>
        <v>1068.01</v>
      </c>
    </row>
    <row r="37" customFormat="false" ht="15" hidden="false" customHeight="false" outlineLevel="0" collapsed="false">
      <c r="A37" s="2" t="n">
        <v>36</v>
      </c>
      <c r="B37" s="3" t="s">
        <v>39</v>
      </c>
      <c r="C37" s="3" t="s">
        <v>14</v>
      </c>
      <c r="D37" s="3" t="s">
        <v>15</v>
      </c>
      <c r="E37" s="3" t="s">
        <v>16</v>
      </c>
      <c r="F37" s="3" t="s">
        <v>23</v>
      </c>
      <c r="G37" s="3" t="s">
        <v>26</v>
      </c>
      <c r="H37" s="2" t="n">
        <v>6</v>
      </c>
      <c r="I37" s="2" t="n">
        <v>1</v>
      </c>
      <c r="J37" s="4" t="n">
        <v>144.6</v>
      </c>
      <c r="K37" s="4" t="n">
        <v>42.15</v>
      </c>
      <c r="L37" s="5" t="n">
        <f aca="false">IF(H37=0,0,I37/H37)</f>
        <v>0.166666666666667</v>
      </c>
      <c r="M37" s="6" t="n">
        <f aca="false">IF(I37=0,0,J37/I37)</f>
        <v>144.6</v>
      </c>
    </row>
    <row r="38" customFormat="false" ht="15" hidden="false" customHeight="false" outlineLevel="0" collapsed="false">
      <c r="A38" s="2" t="n">
        <v>37</v>
      </c>
      <c r="B38" s="3" t="s">
        <v>39</v>
      </c>
      <c r="C38" s="3" t="s">
        <v>14</v>
      </c>
      <c r="D38" s="3" t="s">
        <v>19</v>
      </c>
      <c r="E38" s="3" t="s">
        <v>16</v>
      </c>
      <c r="F38" s="3" t="s">
        <v>23</v>
      </c>
      <c r="G38" s="3" t="s">
        <v>34</v>
      </c>
      <c r="H38" s="2" t="n">
        <v>10</v>
      </c>
      <c r="I38" s="2" t="n">
        <v>3</v>
      </c>
      <c r="J38" s="4" t="n">
        <v>2764.6</v>
      </c>
      <c r="K38" s="4" t="n">
        <v>371.21</v>
      </c>
      <c r="L38" s="5" t="n">
        <f aca="false">IF(H38=0,0,I38/H38)</f>
        <v>0.3</v>
      </c>
      <c r="M38" s="6" t="n">
        <f aca="false">IF(I38=0,0,J38/I38)</f>
        <v>921.533333333333</v>
      </c>
    </row>
    <row r="39" customFormat="false" ht="15" hidden="false" customHeight="false" outlineLevel="0" collapsed="false">
      <c r="A39" s="2" t="n">
        <v>38</v>
      </c>
      <c r="B39" s="3" t="s">
        <v>39</v>
      </c>
      <c r="C39" s="3" t="s">
        <v>14</v>
      </c>
      <c r="D39" s="3" t="s">
        <v>22</v>
      </c>
      <c r="E39" s="3" t="s">
        <v>16</v>
      </c>
      <c r="F39" s="3" t="s">
        <v>17</v>
      </c>
      <c r="G39" s="3" t="s">
        <v>31</v>
      </c>
      <c r="H39" s="2" t="n">
        <v>4</v>
      </c>
      <c r="I39" s="2" t="n">
        <v>0</v>
      </c>
      <c r="J39" s="4" t="n">
        <v>0</v>
      </c>
      <c r="K39" s="4" t="n">
        <v>0</v>
      </c>
      <c r="L39" s="5" t="n">
        <f aca="false">IF(H39=0,0,I39/H39)</f>
        <v>0</v>
      </c>
      <c r="M39" s="6" t="n">
        <f aca="false">IF(I39=0,0,J39/I39)</f>
        <v>0</v>
      </c>
    </row>
    <row r="40" customFormat="false" ht="15" hidden="false" customHeight="false" outlineLevel="0" collapsed="false">
      <c r="A40" s="2" t="n">
        <v>39</v>
      </c>
      <c r="B40" s="3" t="s">
        <v>39</v>
      </c>
      <c r="C40" s="3" t="s">
        <v>14</v>
      </c>
      <c r="D40" s="3" t="s">
        <v>24</v>
      </c>
      <c r="E40" s="3" t="s">
        <v>25</v>
      </c>
      <c r="F40" s="3" t="s">
        <v>17</v>
      </c>
      <c r="G40" s="3" t="s">
        <v>30</v>
      </c>
      <c r="H40" s="2" t="n">
        <v>11</v>
      </c>
      <c r="I40" s="2" t="n">
        <v>2</v>
      </c>
      <c r="J40" s="4" t="n">
        <v>551.03</v>
      </c>
      <c r="K40" s="4" t="n">
        <v>137.93</v>
      </c>
      <c r="L40" s="5" t="n">
        <f aca="false">IF(H40=0,0,I40/H40)</f>
        <v>0.181818181818182</v>
      </c>
      <c r="M40" s="6" t="n">
        <f aca="false">IF(I40=0,0,J40/I40)</f>
        <v>275.515</v>
      </c>
    </row>
    <row r="41" customFormat="false" ht="15" hidden="false" customHeight="false" outlineLevel="0" collapsed="false">
      <c r="A41" s="2" t="n">
        <v>40</v>
      </c>
      <c r="B41" s="3" t="s">
        <v>39</v>
      </c>
      <c r="C41" s="3" t="s">
        <v>14</v>
      </c>
      <c r="D41" s="3" t="s">
        <v>19</v>
      </c>
      <c r="E41" s="3" t="s">
        <v>16</v>
      </c>
      <c r="F41" s="3" t="s">
        <v>20</v>
      </c>
      <c r="G41" s="3" t="s">
        <v>30</v>
      </c>
      <c r="H41" s="2" t="n">
        <v>4</v>
      </c>
      <c r="I41" s="2" t="n">
        <v>0</v>
      </c>
      <c r="J41" s="4" t="n">
        <v>0</v>
      </c>
      <c r="K41" s="4" t="n">
        <v>0</v>
      </c>
      <c r="L41" s="5" t="n">
        <f aca="false">IF(H41=0,0,I41/H41)</f>
        <v>0</v>
      </c>
      <c r="M41" s="6" t="n">
        <f aca="false">IF(I41=0,0,J41/I41)</f>
        <v>0</v>
      </c>
    </row>
    <row r="42" customFormat="false" ht="15" hidden="false" customHeight="false" outlineLevel="0" collapsed="false">
      <c r="A42" s="2" t="n">
        <v>41</v>
      </c>
      <c r="B42" s="3" t="s">
        <v>39</v>
      </c>
      <c r="C42" s="3" t="s">
        <v>14</v>
      </c>
      <c r="D42" s="3" t="s">
        <v>22</v>
      </c>
      <c r="E42" s="3" t="s">
        <v>33</v>
      </c>
      <c r="F42" s="3" t="s">
        <v>23</v>
      </c>
      <c r="G42" s="3" t="s">
        <v>31</v>
      </c>
      <c r="H42" s="2" t="n">
        <v>7</v>
      </c>
      <c r="I42" s="2" t="n">
        <v>3</v>
      </c>
      <c r="J42" s="4" t="n">
        <v>466.2</v>
      </c>
      <c r="K42" s="4" t="n">
        <v>186.56</v>
      </c>
      <c r="L42" s="5" t="n">
        <f aca="false">IF(H42=0,0,I42/H42)</f>
        <v>0.428571428571429</v>
      </c>
      <c r="M42" s="6" t="n">
        <f aca="false">IF(I42=0,0,J42/I42)</f>
        <v>155.4</v>
      </c>
    </row>
    <row r="43" customFormat="false" ht="15" hidden="false" customHeight="false" outlineLevel="0" collapsed="false">
      <c r="A43" s="2" t="n">
        <v>42</v>
      </c>
      <c r="B43" s="3" t="s">
        <v>39</v>
      </c>
      <c r="C43" s="3" t="s">
        <v>14</v>
      </c>
      <c r="D43" s="3" t="s">
        <v>22</v>
      </c>
      <c r="E43" s="3" t="s">
        <v>28</v>
      </c>
      <c r="F43" s="3" t="s">
        <v>29</v>
      </c>
      <c r="G43" s="3" t="s">
        <v>18</v>
      </c>
      <c r="H43" s="2" t="n">
        <v>4</v>
      </c>
      <c r="I43" s="2" t="n">
        <v>2</v>
      </c>
      <c r="J43" s="4" t="n">
        <v>267.81</v>
      </c>
      <c r="K43" s="4" t="n">
        <v>112.9</v>
      </c>
      <c r="L43" s="5" t="n">
        <f aca="false">IF(H43=0,0,I43/H43)</f>
        <v>0.5</v>
      </c>
      <c r="M43" s="6" t="n">
        <f aca="false">IF(I43=0,0,J43/I43)</f>
        <v>133.905</v>
      </c>
    </row>
    <row r="44" customFormat="false" ht="15" hidden="false" customHeight="false" outlineLevel="0" collapsed="false">
      <c r="A44" s="2" t="n">
        <v>43</v>
      </c>
      <c r="B44" s="3" t="s">
        <v>39</v>
      </c>
      <c r="C44" s="3" t="s">
        <v>14</v>
      </c>
      <c r="D44" s="3" t="s">
        <v>22</v>
      </c>
      <c r="E44" s="3" t="s">
        <v>28</v>
      </c>
      <c r="F44" s="3" t="s">
        <v>23</v>
      </c>
      <c r="G44" s="3" t="s">
        <v>30</v>
      </c>
      <c r="H44" s="2" t="n">
        <v>7</v>
      </c>
      <c r="I44" s="2" t="n">
        <v>1</v>
      </c>
      <c r="J44" s="4" t="n">
        <v>125.83</v>
      </c>
      <c r="K44" s="4" t="n">
        <v>52.27</v>
      </c>
      <c r="L44" s="5" t="n">
        <f aca="false">IF(H44=0,0,I44/H44)</f>
        <v>0.142857142857143</v>
      </c>
      <c r="M44" s="6" t="n">
        <f aca="false">IF(I44=0,0,J44/I44)</f>
        <v>125.83</v>
      </c>
    </row>
    <row r="45" customFormat="false" ht="15" hidden="false" customHeight="false" outlineLevel="0" collapsed="false">
      <c r="A45" s="2" t="n">
        <v>44</v>
      </c>
      <c r="B45" s="3" t="s">
        <v>39</v>
      </c>
      <c r="C45" s="3" t="s">
        <v>14</v>
      </c>
      <c r="D45" s="3" t="s">
        <v>22</v>
      </c>
      <c r="E45" s="3" t="s">
        <v>33</v>
      </c>
      <c r="F45" s="3" t="s">
        <v>29</v>
      </c>
      <c r="G45" s="3" t="s">
        <v>18</v>
      </c>
      <c r="H45" s="2" t="n">
        <v>8</v>
      </c>
      <c r="I45" s="2" t="n">
        <v>3</v>
      </c>
      <c r="J45" s="4" t="n">
        <v>420.97</v>
      </c>
      <c r="K45" s="4" t="n">
        <v>187.47</v>
      </c>
      <c r="L45" s="5" t="n">
        <f aca="false">IF(H45=0,0,I45/H45)</f>
        <v>0.375</v>
      </c>
      <c r="M45" s="6" t="n">
        <f aca="false">IF(I45=0,0,J45/I45)</f>
        <v>140.323333333333</v>
      </c>
    </row>
    <row r="46" customFormat="false" ht="15" hidden="false" customHeight="false" outlineLevel="0" collapsed="false">
      <c r="A46" s="2" t="n">
        <v>45</v>
      </c>
      <c r="B46" s="3" t="s">
        <v>40</v>
      </c>
      <c r="C46" s="3" t="s">
        <v>14</v>
      </c>
      <c r="D46" s="3" t="s">
        <v>15</v>
      </c>
      <c r="E46" s="3" t="s">
        <v>33</v>
      </c>
      <c r="F46" s="3" t="s">
        <v>20</v>
      </c>
      <c r="G46" s="3" t="s">
        <v>26</v>
      </c>
      <c r="H46" s="2" t="n">
        <v>10</v>
      </c>
      <c r="I46" s="2" t="n">
        <v>0</v>
      </c>
      <c r="J46" s="4" t="n">
        <v>0</v>
      </c>
      <c r="K46" s="4" t="n">
        <v>0</v>
      </c>
      <c r="L46" s="5" t="n">
        <f aca="false">IF(H46=0,0,I46/H46)</f>
        <v>0</v>
      </c>
      <c r="M46" s="6" t="n">
        <f aca="false">IF(I46=0,0,J46/I46)</f>
        <v>0</v>
      </c>
    </row>
    <row r="47" customFormat="false" ht="15" hidden="false" customHeight="false" outlineLevel="0" collapsed="false">
      <c r="A47" s="2" t="n">
        <v>46</v>
      </c>
      <c r="B47" s="3" t="s">
        <v>40</v>
      </c>
      <c r="C47" s="3" t="s">
        <v>14</v>
      </c>
      <c r="D47" s="3" t="s">
        <v>24</v>
      </c>
      <c r="E47" s="3" t="s">
        <v>16</v>
      </c>
      <c r="F47" s="3" t="s">
        <v>17</v>
      </c>
      <c r="G47" s="3" t="s">
        <v>31</v>
      </c>
      <c r="H47" s="2" t="n">
        <v>9</v>
      </c>
      <c r="I47" s="2" t="n">
        <v>5</v>
      </c>
      <c r="J47" s="4" t="n">
        <v>1695.95</v>
      </c>
      <c r="K47" s="4" t="n">
        <v>398.53</v>
      </c>
      <c r="L47" s="5" t="n">
        <f aca="false">IF(H47=0,0,I47/H47)</f>
        <v>0.555555555555556</v>
      </c>
      <c r="M47" s="6" t="n">
        <f aca="false">IF(I47=0,0,J47/I47)</f>
        <v>339.19</v>
      </c>
    </row>
    <row r="48" customFormat="false" ht="15" hidden="false" customHeight="false" outlineLevel="0" collapsed="false">
      <c r="A48" s="2" t="n">
        <v>47</v>
      </c>
      <c r="B48" s="3" t="s">
        <v>40</v>
      </c>
      <c r="C48" s="3" t="s">
        <v>14</v>
      </c>
      <c r="D48" s="3" t="s">
        <v>27</v>
      </c>
      <c r="E48" s="3" t="s">
        <v>28</v>
      </c>
      <c r="F48" s="3" t="s">
        <v>23</v>
      </c>
      <c r="G48" s="3" t="s">
        <v>31</v>
      </c>
      <c r="H48" s="2" t="n">
        <v>9</v>
      </c>
      <c r="I48" s="2" t="n">
        <v>2</v>
      </c>
      <c r="J48" s="4" t="n">
        <v>3111.37</v>
      </c>
      <c r="K48" s="4" t="n">
        <v>518.19</v>
      </c>
      <c r="L48" s="5" t="n">
        <f aca="false">IF(H48=0,0,I48/H48)</f>
        <v>0.222222222222222</v>
      </c>
      <c r="M48" s="6" t="n">
        <f aca="false">IF(I48=0,0,J48/I48)</f>
        <v>1555.685</v>
      </c>
    </row>
    <row r="49" customFormat="false" ht="15" hidden="false" customHeight="false" outlineLevel="0" collapsed="false">
      <c r="A49" s="2" t="n">
        <v>48</v>
      </c>
      <c r="B49" s="3" t="s">
        <v>40</v>
      </c>
      <c r="C49" s="3" t="s">
        <v>14</v>
      </c>
      <c r="D49" s="3" t="s">
        <v>27</v>
      </c>
      <c r="E49" s="3" t="s">
        <v>16</v>
      </c>
      <c r="F49" s="3" t="s">
        <v>20</v>
      </c>
      <c r="G49" s="3" t="s">
        <v>18</v>
      </c>
      <c r="H49" s="2" t="n">
        <v>6</v>
      </c>
      <c r="I49" s="2" t="n">
        <v>2</v>
      </c>
      <c r="J49" s="4" t="n">
        <v>2412.12</v>
      </c>
      <c r="K49" s="4" t="n">
        <v>428.25</v>
      </c>
      <c r="L49" s="5" t="n">
        <f aca="false">IF(H49=0,0,I49/H49)</f>
        <v>0.333333333333333</v>
      </c>
      <c r="M49" s="6" t="n">
        <f aca="false">IF(I49=0,0,J49/I49)</f>
        <v>1206.06</v>
      </c>
    </row>
    <row r="50" customFormat="false" ht="15" hidden="false" customHeight="false" outlineLevel="0" collapsed="false">
      <c r="A50" s="2" t="n">
        <v>49</v>
      </c>
      <c r="B50" s="3" t="s">
        <v>40</v>
      </c>
      <c r="C50" s="3" t="s">
        <v>14</v>
      </c>
      <c r="D50" s="3" t="s">
        <v>19</v>
      </c>
      <c r="E50" s="3" t="s">
        <v>28</v>
      </c>
      <c r="F50" s="3" t="s">
        <v>23</v>
      </c>
      <c r="G50" s="3" t="s">
        <v>34</v>
      </c>
      <c r="H50" s="2" t="n">
        <v>9</v>
      </c>
      <c r="I50" s="2" t="n">
        <v>2</v>
      </c>
      <c r="J50" s="4" t="n">
        <v>1768.35</v>
      </c>
      <c r="K50" s="4" t="n">
        <v>248.93</v>
      </c>
      <c r="L50" s="5" t="n">
        <f aca="false">IF(H50=0,0,I50/H50)</f>
        <v>0.222222222222222</v>
      </c>
      <c r="M50" s="6" t="n">
        <f aca="false">IF(I50=0,0,J50/I50)</f>
        <v>884.175</v>
      </c>
    </row>
    <row r="51" customFormat="false" ht="15" hidden="false" customHeight="false" outlineLevel="0" collapsed="false">
      <c r="A51" s="2" t="n">
        <v>50</v>
      </c>
      <c r="B51" s="3" t="s">
        <v>40</v>
      </c>
      <c r="C51" s="3" t="s">
        <v>14</v>
      </c>
      <c r="D51" s="3" t="s">
        <v>22</v>
      </c>
      <c r="E51" s="3" t="s">
        <v>25</v>
      </c>
      <c r="F51" s="3" t="s">
        <v>29</v>
      </c>
      <c r="G51" s="3" t="s">
        <v>18</v>
      </c>
      <c r="H51" s="2" t="n">
        <v>6</v>
      </c>
      <c r="I51" s="2" t="n">
        <v>0</v>
      </c>
      <c r="J51" s="4" t="n">
        <v>0</v>
      </c>
      <c r="K51" s="4" t="n">
        <v>0</v>
      </c>
      <c r="L51" s="5" t="n">
        <f aca="false">IF(H51=0,0,I51/H51)</f>
        <v>0</v>
      </c>
      <c r="M51" s="6" t="n">
        <f aca="false">IF(I51=0,0,J51/I51)</f>
        <v>0</v>
      </c>
    </row>
    <row r="52" customFormat="false" ht="15" hidden="false" customHeight="false" outlineLevel="0" collapsed="false">
      <c r="A52" s="2" t="n">
        <v>51</v>
      </c>
      <c r="B52" s="3" t="s">
        <v>40</v>
      </c>
      <c r="C52" s="3" t="s">
        <v>14</v>
      </c>
      <c r="D52" s="3" t="s">
        <v>19</v>
      </c>
      <c r="E52" s="3" t="s">
        <v>16</v>
      </c>
      <c r="F52" s="3" t="s">
        <v>23</v>
      </c>
      <c r="G52" s="3" t="s">
        <v>26</v>
      </c>
      <c r="H52" s="2" t="n">
        <v>13</v>
      </c>
      <c r="I52" s="2" t="n">
        <v>2</v>
      </c>
      <c r="J52" s="4" t="n">
        <v>1356.27</v>
      </c>
      <c r="K52" s="4" t="n">
        <v>193.93</v>
      </c>
      <c r="L52" s="5" t="n">
        <f aca="false">IF(H52=0,0,I52/H52)</f>
        <v>0.153846153846154</v>
      </c>
      <c r="M52" s="6" t="n">
        <f aca="false">IF(I52=0,0,J52/I52)</f>
        <v>678.135</v>
      </c>
    </row>
    <row r="53" customFormat="false" ht="15" hidden="false" customHeight="false" outlineLevel="0" collapsed="false">
      <c r="A53" s="2" t="n">
        <v>52</v>
      </c>
      <c r="B53" s="3" t="s">
        <v>40</v>
      </c>
      <c r="C53" s="3" t="s">
        <v>14</v>
      </c>
      <c r="D53" s="3" t="s">
        <v>15</v>
      </c>
      <c r="E53" s="3" t="s">
        <v>28</v>
      </c>
      <c r="F53" s="3" t="s">
        <v>23</v>
      </c>
      <c r="G53" s="3" t="s">
        <v>26</v>
      </c>
      <c r="H53" s="2" t="n">
        <v>9</v>
      </c>
      <c r="I53" s="2" t="n">
        <v>2</v>
      </c>
      <c r="J53" s="4" t="n">
        <v>376.15</v>
      </c>
      <c r="K53" s="4" t="n">
        <v>109.13</v>
      </c>
      <c r="L53" s="5" t="n">
        <f aca="false">IF(H53=0,0,I53/H53)</f>
        <v>0.222222222222222</v>
      </c>
      <c r="M53" s="6" t="n">
        <f aca="false">IF(I53=0,0,J53/I53)</f>
        <v>188.075</v>
      </c>
    </row>
    <row r="54" customFormat="false" ht="15" hidden="false" customHeight="false" outlineLevel="0" collapsed="false">
      <c r="A54" s="2" t="n">
        <v>53</v>
      </c>
      <c r="B54" s="3" t="s">
        <v>41</v>
      </c>
      <c r="C54" s="3" t="s">
        <v>14</v>
      </c>
      <c r="D54" s="3" t="s">
        <v>24</v>
      </c>
      <c r="E54" s="3" t="s">
        <v>25</v>
      </c>
      <c r="F54" s="3" t="s">
        <v>23</v>
      </c>
      <c r="G54" s="3" t="s">
        <v>30</v>
      </c>
      <c r="H54" s="2" t="n">
        <v>9</v>
      </c>
      <c r="I54" s="2" t="n">
        <v>2</v>
      </c>
      <c r="J54" s="4" t="n">
        <v>573.22</v>
      </c>
      <c r="K54" s="4" t="n">
        <v>148.35</v>
      </c>
      <c r="L54" s="5" t="n">
        <f aca="false">IF(H54=0,0,I54/H54)</f>
        <v>0.222222222222222</v>
      </c>
      <c r="M54" s="6" t="n">
        <f aca="false">IF(I54=0,0,J54/I54)</f>
        <v>286.61</v>
      </c>
    </row>
    <row r="55" customFormat="false" ht="15" hidden="false" customHeight="false" outlineLevel="0" collapsed="false">
      <c r="A55" s="2" t="n">
        <v>54</v>
      </c>
      <c r="B55" s="3" t="s">
        <v>41</v>
      </c>
      <c r="C55" s="3" t="s">
        <v>14</v>
      </c>
      <c r="D55" s="3" t="s">
        <v>19</v>
      </c>
      <c r="E55" s="3" t="s">
        <v>16</v>
      </c>
      <c r="F55" s="3" t="s">
        <v>23</v>
      </c>
      <c r="G55" s="3" t="s">
        <v>30</v>
      </c>
      <c r="H55" s="2" t="n">
        <v>10</v>
      </c>
      <c r="I55" s="2" t="n">
        <v>0</v>
      </c>
      <c r="J55" s="4" t="n">
        <v>0</v>
      </c>
      <c r="K55" s="4" t="n">
        <v>0</v>
      </c>
      <c r="L55" s="5" t="n">
        <f aca="false">IF(H55=0,0,I55/H55)</f>
        <v>0</v>
      </c>
      <c r="M55" s="6" t="n">
        <f aca="false">IF(I55=0,0,J55/I55)</f>
        <v>0</v>
      </c>
    </row>
    <row r="56" customFormat="false" ht="15" hidden="false" customHeight="false" outlineLevel="0" collapsed="false">
      <c r="A56" s="2" t="n">
        <v>55</v>
      </c>
      <c r="B56" s="3" t="s">
        <v>41</v>
      </c>
      <c r="C56" s="3" t="s">
        <v>14</v>
      </c>
      <c r="D56" s="3" t="s">
        <v>15</v>
      </c>
      <c r="E56" s="3" t="s">
        <v>25</v>
      </c>
      <c r="F56" s="3" t="s">
        <v>17</v>
      </c>
      <c r="G56" s="3" t="s">
        <v>26</v>
      </c>
      <c r="H56" s="2" t="n">
        <v>6</v>
      </c>
      <c r="I56" s="2" t="n">
        <v>0</v>
      </c>
      <c r="J56" s="4" t="n">
        <v>0</v>
      </c>
      <c r="K56" s="4" t="n">
        <v>0</v>
      </c>
      <c r="L56" s="5" t="n">
        <f aca="false">IF(H56=0,0,I56/H56)</f>
        <v>0</v>
      </c>
      <c r="M56" s="6" t="n">
        <f aca="false">IF(I56=0,0,J56/I56)</f>
        <v>0</v>
      </c>
    </row>
    <row r="57" customFormat="false" ht="15" hidden="false" customHeight="false" outlineLevel="0" collapsed="false">
      <c r="A57" s="2" t="n">
        <v>56</v>
      </c>
      <c r="B57" s="3" t="s">
        <v>41</v>
      </c>
      <c r="C57" s="3" t="s">
        <v>14</v>
      </c>
      <c r="D57" s="3" t="s">
        <v>22</v>
      </c>
      <c r="E57" s="3" t="s">
        <v>25</v>
      </c>
      <c r="F57" s="3" t="s">
        <v>23</v>
      </c>
      <c r="G57" s="3" t="s">
        <v>21</v>
      </c>
      <c r="H57" s="2" t="n">
        <v>6</v>
      </c>
      <c r="I57" s="2" t="n">
        <v>0</v>
      </c>
      <c r="J57" s="4" t="n">
        <v>0</v>
      </c>
      <c r="K57" s="4" t="n">
        <v>0</v>
      </c>
      <c r="L57" s="5" t="n">
        <f aca="false">IF(H57=0,0,I57/H57)</f>
        <v>0</v>
      </c>
      <c r="M57" s="6" t="n">
        <f aca="false">IF(I57=0,0,J57/I57)</f>
        <v>0</v>
      </c>
    </row>
    <row r="58" customFormat="false" ht="15" hidden="false" customHeight="false" outlineLevel="0" collapsed="false">
      <c r="A58" s="2" t="n">
        <v>57</v>
      </c>
      <c r="B58" s="3" t="s">
        <v>41</v>
      </c>
      <c r="C58" s="3" t="s">
        <v>14</v>
      </c>
      <c r="D58" s="3" t="s">
        <v>19</v>
      </c>
      <c r="E58" s="3" t="s">
        <v>16</v>
      </c>
      <c r="F58" s="3" t="s">
        <v>23</v>
      </c>
      <c r="G58" s="3" t="s">
        <v>26</v>
      </c>
      <c r="H58" s="2" t="n">
        <v>11</v>
      </c>
      <c r="I58" s="2" t="n">
        <v>2</v>
      </c>
      <c r="J58" s="4" t="n">
        <v>1481.83</v>
      </c>
      <c r="K58" s="4" t="n">
        <v>223.64</v>
      </c>
      <c r="L58" s="5" t="n">
        <f aca="false">IF(H58=0,0,I58/H58)</f>
        <v>0.181818181818182</v>
      </c>
      <c r="M58" s="6" t="n">
        <f aca="false">IF(I58=0,0,J58/I58)</f>
        <v>740.915</v>
      </c>
    </row>
    <row r="59" customFormat="false" ht="15" hidden="false" customHeight="false" outlineLevel="0" collapsed="false">
      <c r="A59" s="2" t="n">
        <v>58</v>
      </c>
      <c r="B59" s="3" t="s">
        <v>41</v>
      </c>
      <c r="C59" s="3" t="s">
        <v>14</v>
      </c>
      <c r="D59" s="3" t="s">
        <v>27</v>
      </c>
      <c r="E59" s="3" t="s">
        <v>16</v>
      </c>
      <c r="F59" s="3" t="s">
        <v>29</v>
      </c>
      <c r="G59" s="3" t="s">
        <v>34</v>
      </c>
      <c r="H59" s="2" t="n">
        <v>11</v>
      </c>
      <c r="I59" s="2" t="n">
        <v>2</v>
      </c>
      <c r="J59" s="4" t="n">
        <v>2234.03</v>
      </c>
      <c r="K59" s="4" t="n">
        <v>408.32</v>
      </c>
      <c r="L59" s="5" t="n">
        <f aca="false">IF(H59=0,0,I59/H59)</f>
        <v>0.181818181818182</v>
      </c>
      <c r="M59" s="6" t="n">
        <f aca="false">IF(I59=0,0,J59/I59)</f>
        <v>1117.015</v>
      </c>
    </row>
    <row r="60" customFormat="false" ht="15" hidden="false" customHeight="false" outlineLevel="0" collapsed="false">
      <c r="A60" s="2" t="n">
        <v>59</v>
      </c>
      <c r="B60" s="3" t="s">
        <v>41</v>
      </c>
      <c r="C60" s="3" t="s">
        <v>14</v>
      </c>
      <c r="D60" s="3" t="s">
        <v>19</v>
      </c>
      <c r="E60" s="3" t="s">
        <v>16</v>
      </c>
      <c r="F60" s="3" t="s">
        <v>23</v>
      </c>
      <c r="G60" s="3" t="s">
        <v>31</v>
      </c>
      <c r="H60" s="2" t="n">
        <v>11</v>
      </c>
      <c r="I60" s="2" t="n">
        <v>5</v>
      </c>
      <c r="J60" s="4" t="n">
        <v>3188.06</v>
      </c>
      <c r="K60" s="4" t="n">
        <v>423.87</v>
      </c>
      <c r="L60" s="5" t="n">
        <f aca="false">IF(H60=0,0,I60/H60)</f>
        <v>0.454545454545455</v>
      </c>
      <c r="M60" s="6" t="n">
        <f aca="false">IF(I60=0,0,J60/I60)</f>
        <v>637.612</v>
      </c>
    </row>
    <row r="61" customFormat="false" ht="15" hidden="false" customHeight="false" outlineLevel="0" collapsed="false">
      <c r="A61" s="2" t="n">
        <v>60</v>
      </c>
      <c r="B61" s="3" t="s">
        <v>41</v>
      </c>
      <c r="C61" s="3" t="s">
        <v>14</v>
      </c>
      <c r="D61" s="3" t="s">
        <v>22</v>
      </c>
      <c r="E61" s="3" t="s">
        <v>28</v>
      </c>
      <c r="F61" s="3" t="s">
        <v>23</v>
      </c>
      <c r="G61" s="3" t="s">
        <v>30</v>
      </c>
      <c r="H61" s="2" t="n">
        <v>11</v>
      </c>
      <c r="I61" s="2" t="n">
        <v>2</v>
      </c>
      <c r="J61" s="4" t="n">
        <v>217.92</v>
      </c>
      <c r="K61" s="4" t="n">
        <v>88.54</v>
      </c>
      <c r="L61" s="5" t="n">
        <f aca="false">IF(H61=0,0,I61/H61)</f>
        <v>0.181818181818182</v>
      </c>
      <c r="M61" s="6" t="n">
        <f aca="false">IF(I61=0,0,J61/I61)</f>
        <v>108.96</v>
      </c>
    </row>
    <row r="62" customFormat="false" ht="15" hidden="false" customHeight="false" outlineLevel="0" collapsed="false">
      <c r="A62" s="2" t="n">
        <v>61</v>
      </c>
      <c r="B62" s="3" t="s">
        <v>41</v>
      </c>
      <c r="C62" s="3" t="s">
        <v>14</v>
      </c>
      <c r="D62" s="3" t="s">
        <v>19</v>
      </c>
      <c r="E62" s="3" t="s">
        <v>16</v>
      </c>
      <c r="F62" s="3" t="s">
        <v>23</v>
      </c>
      <c r="G62" s="3" t="s">
        <v>30</v>
      </c>
      <c r="H62" s="2" t="n">
        <v>6</v>
      </c>
      <c r="I62" s="2" t="n">
        <v>3</v>
      </c>
      <c r="J62" s="4" t="n">
        <v>3152.59</v>
      </c>
      <c r="K62" s="4" t="n">
        <v>448.48</v>
      </c>
      <c r="L62" s="5" t="n">
        <f aca="false">IF(H62=0,0,I62/H62)</f>
        <v>0.5</v>
      </c>
      <c r="M62" s="6" t="n">
        <f aca="false">IF(I62=0,0,J62/I62)</f>
        <v>1050.86333333333</v>
      </c>
    </row>
    <row r="63" customFormat="false" ht="15" hidden="false" customHeight="false" outlineLevel="0" collapsed="false">
      <c r="A63" s="2" t="n">
        <v>62</v>
      </c>
      <c r="B63" s="3" t="s">
        <v>42</v>
      </c>
      <c r="C63" s="3" t="s">
        <v>14</v>
      </c>
      <c r="D63" s="3" t="s">
        <v>15</v>
      </c>
      <c r="E63" s="3" t="s">
        <v>16</v>
      </c>
      <c r="F63" s="3" t="s">
        <v>29</v>
      </c>
      <c r="G63" s="3" t="s">
        <v>30</v>
      </c>
      <c r="H63" s="2" t="n">
        <v>5</v>
      </c>
      <c r="I63" s="2" t="n">
        <v>3</v>
      </c>
      <c r="J63" s="4" t="n">
        <v>704.57</v>
      </c>
      <c r="K63" s="4" t="n">
        <v>225.84</v>
      </c>
      <c r="L63" s="5" t="n">
        <f aca="false">IF(H63=0,0,I63/H63)</f>
        <v>0.6</v>
      </c>
      <c r="M63" s="6" t="n">
        <f aca="false">IF(I63=0,0,J63/I63)</f>
        <v>234.856666666667</v>
      </c>
    </row>
    <row r="64" customFormat="false" ht="15" hidden="false" customHeight="false" outlineLevel="0" collapsed="false">
      <c r="A64" s="2" t="n">
        <v>63</v>
      </c>
      <c r="B64" s="3" t="s">
        <v>42</v>
      </c>
      <c r="C64" s="3" t="s">
        <v>14</v>
      </c>
      <c r="D64" s="3" t="s">
        <v>27</v>
      </c>
      <c r="E64" s="3" t="s">
        <v>16</v>
      </c>
      <c r="F64" s="3" t="s">
        <v>23</v>
      </c>
      <c r="G64" s="3" t="s">
        <v>21</v>
      </c>
      <c r="H64" s="2" t="n">
        <v>10</v>
      </c>
      <c r="I64" s="2" t="n">
        <v>1</v>
      </c>
      <c r="J64" s="4" t="n">
        <v>1122.89</v>
      </c>
      <c r="K64" s="4" t="n">
        <v>213.51</v>
      </c>
      <c r="L64" s="5" t="n">
        <f aca="false">IF(H64=0,0,I64/H64)</f>
        <v>0.1</v>
      </c>
      <c r="M64" s="6" t="n">
        <f aca="false">IF(I64=0,0,J64/I64)</f>
        <v>1122.89</v>
      </c>
    </row>
    <row r="65" customFormat="false" ht="15" hidden="false" customHeight="false" outlineLevel="0" collapsed="false">
      <c r="A65" s="2" t="n">
        <v>64</v>
      </c>
      <c r="B65" s="3" t="s">
        <v>42</v>
      </c>
      <c r="C65" s="3" t="s">
        <v>14</v>
      </c>
      <c r="D65" s="3" t="s">
        <v>19</v>
      </c>
      <c r="E65" s="3" t="s">
        <v>16</v>
      </c>
      <c r="F65" s="3" t="s">
        <v>17</v>
      </c>
      <c r="G65" s="3" t="s">
        <v>26</v>
      </c>
      <c r="H65" s="2" t="n">
        <v>6</v>
      </c>
      <c r="I65" s="2" t="n">
        <v>1</v>
      </c>
      <c r="J65" s="4" t="n">
        <v>673.09</v>
      </c>
      <c r="K65" s="4" t="n">
        <v>99.53</v>
      </c>
      <c r="L65" s="5" t="n">
        <f aca="false">IF(H65=0,0,I65/H65)</f>
        <v>0.166666666666667</v>
      </c>
      <c r="M65" s="6" t="n">
        <f aca="false">IF(I65=0,0,J65/I65)</f>
        <v>673.09</v>
      </c>
    </row>
    <row r="66" customFormat="false" ht="15" hidden="false" customHeight="false" outlineLevel="0" collapsed="false">
      <c r="A66" s="2" t="n">
        <v>65</v>
      </c>
      <c r="B66" s="3" t="s">
        <v>42</v>
      </c>
      <c r="C66" s="3" t="s">
        <v>14</v>
      </c>
      <c r="D66" s="3" t="s">
        <v>22</v>
      </c>
      <c r="E66" s="3" t="s">
        <v>25</v>
      </c>
      <c r="F66" s="3" t="s">
        <v>20</v>
      </c>
      <c r="G66" s="3" t="s">
        <v>21</v>
      </c>
      <c r="H66" s="2" t="n">
        <v>8</v>
      </c>
      <c r="I66" s="2" t="n">
        <v>2</v>
      </c>
      <c r="J66" s="4" t="n">
        <v>211.51</v>
      </c>
      <c r="K66" s="4" t="n">
        <v>94.95</v>
      </c>
      <c r="L66" s="5" t="n">
        <f aca="false">IF(H66=0,0,I66/H66)</f>
        <v>0.25</v>
      </c>
      <c r="M66" s="6" t="n">
        <f aca="false">IF(I66=0,0,J66/I66)</f>
        <v>105.755</v>
      </c>
    </row>
    <row r="67" customFormat="false" ht="15" hidden="false" customHeight="false" outlineLevel="0" collapsed="false">
      <c r="A67" s="2" t="n">
        <v>66</v>
      </c>
      <c r="B67" s="3" t="s">
        <v>43</v>
      </c>
      <c r="C67" s="3" t="s">
        <v>14</v>
      </c>
      <c r="D67" s="3" t="s">
        <v>27</v>
      </c>
      <c r="E67" s="3" t="s">
        <v>28</v>
      </c>
      <c r="F67" s="3" t="s">
        <v>23</v>
      </c>
      <c r="G67" s="3" t="s">
        <v>21</v>
      </c>
      <c r="H67" s="2" t="n">
        <v>6</v>
      </c>
      <c r="I67" s="2" t="n">
        <v>0</v>
      </c>
      <c r="J67" s="4" t="n">
        <v>0</v>
      </c>
      <c r="K67" s="4" t="n">
        <v>0</v>
      </c>
      <c r="L67" s="5" t="n">
        <f aca="false">IF(H67=0,0,I67/H67)</f>
        <v>0</v>
      </c>
      <c r="M67" s="6" t="n">
        <f aca="false">IF(I67=0,0,J67/I67)</f>
        <v>0</v>
      </c>
    </row>
    <row r="68" customFormat="false" ht="15" hidden="false" customHeight="false" outlineLevel="0" collapsed="false">
      <c r="A68" s="2" t="n">
        <v>67</v>
      </c>
      <c r="B68" s="3" t="s">
        <v>43</v>
      </c>
      <c r="C68" s="3" t="s">
        <v>14</v>
      </c>
      <c r="D68" s="3" t="s">
        <v>24</v>
      </c>
      <c r="E68" s="3" t="s">
        <v>16</v>
      </c>
      <c r="F68" s="3" t="s">
        <v>20</v>
      </c>
      <c r="G68" s="3" t="s">
        <v>31</v>
      </c>
      <c r="H68" s="2" t="n">
        <v>7</v>
      </c>
      <c r="I68" s="2" t="n">
        <v>3</v>
      </c>
      <c r="J68" s="4" t="n">
        <v>947.8</v>
      </c>
      <c r="K68" s="4" t="n">
        <v>220.57</v>
      </c>
      <c r="L68" s="5" t="n">
        <f aca="false">IF(H68=0,0,I68/H68)</f>
        <v>0.428571428571429</v>
      </c>
      <c r="M68" s="6" t="n">
        <f aca="false">IF(I68=0,0,J68/I68)</f>
        <v>315.933333333333</v>
      </c>
    </row>
    <row r="69" customFormat="false" ht="15" hidden="false" customHeight="false" outlineLevel="0" collapsed="false">
      <c r="A69" s="2" t="n">
        <v>68</v>
      </c>
      <c r="B69" s="3" t="s">
        <v>44</v>
      </c>
      <c r="C69" s="3" t="s">
        <v>14</v>
      </c>
      <c r="D69" s="3" t="s">
        <v>15</v>
      </c>
      <c r="E69" s="3" t="s">
        <v>28</v>
      </c>
      <c r="F69" s="3" t="s">
        <v>17</v>
      </c>
      <c r="G69" s="3" t="s">
        <v>18</v>
      </c>
      <c r="H69" s="2" t="n">
        <v>7</v>
      </c>
      <c r="I69" s="2" t="n">
        <v>0</v>
      </c>
      <c r="J69" s="4" t="n">
        <v>0</v>
      </c>
      <c r="K69" s="4" t="n">
        <v>0</v>
      </c>
      <c r="L69" s="5" t="n">
        <f aca="false">IF(H69=0,0,I69/H69)</f>
        <v>0</v>
      </c>
      <c r="M69" s="6" t="n">
        <f aca="false">IF(I69=0,0,J69/I69)</f>
        <v>0</v>
      </c>
    </row>
    <row r="70" customFormat="false" ht="15" hidden="false" customHeight="false" outlineLevel="0" collapsed="false">
      <c r="A70" s="2" t="n">
        <v>69</v>
      </c>
      <c r="B70" s="3" t="s">
        <v>44</v>
      </c>
      <c r="C70" s="3" t="s">
        <v>14</v>
      </c>
      <c r="D70" s="3" t="s">
        <v>19</v>
      </c>
      <c r="E70" s="3" t="s">
        <v>28</v>
      </c>
      <c r="F70" s="3" t="s">
        <v>20</v>
      </c>
      <c r="G70" s="3" t="s">
        <v>31</v>
      </c>
      <c r="H70" s="2" t="n">
        <v>6</v>
      </c>
      <c r="I70" s="2" t="n">
        <v>1</v>
      </c>
      <c r="J70" s="4" t="n">
        <v>1078.64</v>
      </c>
      <c r="K70" s="4" t="n">
        <v>149.07</v>
      </c>
      <c r="L70" s="5" t="n">
        <f aca="false">IF(H70=0,0,I70/H70)</f>
        <v>0.166666666666667</v>
      </c>
      <c r="M70" s="6" t="n">
        <f aca="false">IF(I70=0,0,J70/I70)</f>
        <v>1078.64</v>
      </c>
    </row>
    <row r="71" customFormat="false" ht="15" hidden="false" customHeight="false" outlineLevel="0" collapsed="false">
      <c r="A71" s="2" t="n">
        <v>70</v>
      </c>
      <c r="B71" s="3" t="s">
        <v>44</v>
      </c>
      <c r="C71" s="3" t="s">
        <v>14</v>
      </c>
      <c r="D71" s="3" t="s">
        <v>24</v>
      </c>
      <c r="E71" s="3" t="s">
        <v>25</v>
      </c>
      <c r="F71" s="3" t="s">
        <v>23</v>
      </c>
      <c r="G71" s="3" t="s">
        <v>26</v>
      </c>
      <c r="H71" s="2" t="n">
        <v>9</v>
      </c>
      <c r="I71" s="2" t="n">
        <v>1</v>
      </c>
      <c r="J71" s="4" t="n">
        <v>224.04</v>
      </c>
      <c r="K71" s="4" t="n">
        <v>52.91</v>
      </c>
      <c r="L71" s="5" t="n">
        <f aca="false">IF(H71=0,0,I71/H71)</f>
        <v>0.111111111111111</v>
      </c>
      <c r="M71" s="6" t="n">
        <f aca="false">IF(I71=0,0,J71/I71)</f>
        <v>224.04</v>
      </c>
    </row>
    <row r="72" customFormat="false" ht="15" hidden="false" customHeight="false" outlineLevel="0" collapsed="false">
      <c r="A72" s="2" t="n">
        <v>71</v>
      </c>
      <c r="B72" s="3" t="s">
        <v>44</v>
      </c>
      <c r="C72" s="3" t="s">
        <v>14</v>
      </c>
      <c r="D72" s="3" t="s">
        <v>22</v>
      </c>
      <c r="E72" s="3" t="s">
        <v>25</v>
      </c>
      <c r="F72" s="3" t="s">
        <v>23</v>
      </c>
      <c r="G72" s="3" t="s">
        <v>31</v>
      </c>
      <c r="H72" s="2" t="n">
        <v>5</v>
      </c>
      <c r="I72" s="2" t="n">
        <v>0</v>
      </c>
      <c r="J72" s="4" t="n">
        <v>0</v>
      </c>
      <c r="K72" s="4" t="n">
        <v>0</v>
      </c>
      <c r="L72" s="5" t="n">
        <f aca="false">IF(H72=0,0,I72/H72)</f>
        <v>0</v>
      </c>
      <c r="M72" s="6" t="n">
        <f aca="false">IF(I72=0,0,J72/I72)</f>
        <v>0</v>
      </c>
    </row>
    <row r="73" customFormat="false" ht="15" hidden="false" customHeight="false" outlineLevel="0" collapsed="false">
      <c r="A73" s="2" t="n">
        <v>72</v>
      </c>
      <c r="B73" s="3" t="s">
        <v>44</v>
      </c>
      <c r="C73" s="3" t="s">
        <v>14</v>
      </c>
      <c r="D73" s="3" t="s">
        <v>19</v>
      </c>
      <c r="E73" s="3" t="s">
        <v>25</v>
      </c>
      <c r="F73" s="3" t="s">
        <v>23</v>
      </c>
      <c r="G73" s="3" t="s">
        <v>30</v>
      </c>
      <c r="H73" s="2" t="n">
        <v>14</v>
      </c>
      <c r="I73" s="2" t="n">
        <v>1</v>
      </c>
      <c r="J73" s="4" t="n">
        <v>685.56</v>
      </c>
      <c r="K73" s="4" t="n">
        <v>97.07</v>
      </c>
      <c r="L73" s="5" t="n">
        <f aca="false">IF(H73=0,0,I73/H73)</f>
        <v>0.0714285714285714</v>
      </c>
      <c r="M73" s="6" t="n">
        <f aca="false">IF(I73=0,0,J73/I73)</f>
        <v>685.56</v>
      </c>
    </row>
    <row r="74" customFormat="false" ht="15" hidden="false" customHeight="false" outlineLevel="0" collapsed="false">
      <c r="A74" s="2" t="n">
        <v>73</v>
      </c>
      <c r="B74" s="3" t="s">
        <v>44</v>
      </c>
      <c r="C74" s="3" t="s">
        <v>14</v>
      </c>
      <c r="D74" s="3" t="s">
        <v>19</v>
      </c>
      <c r="E74" s="3" t="s">
        <v>25</v>
      </c>
      <c r="F74" s="3" t="s">
        <v>23</v>
      </c>
      <c r="G74" s="3" t="s">
        <v>34</v>
      </c>
      <c r="H74" s="2" t="n">
        <v>3</v>
      </c>
      <c r="I74" s="2" t="n">
        <v>0</v>
      </c>
      <c r="J74" s="4" t="n">
        <v>0</v>
      </c>
      <c r="K74" s="4" t="n">
        <v>0</v>
      </c>
      <c r="L74" s="5" t="n">
        <f aca="false">IF(H74=0,0,I74/H74)</f>
        <v>0</v>
      </c>
      <c r="M74" s="6" t="n">
        <f aca="false">IF(I74=0,0,J74/I74)</f>
        <v>0</v>
      </c>
    </row>
    <row r="75" customFormat="false" ht="15" hidden="false" customHeight="false" outlineLevel="0" collapsed="false">
      <c r="A75" s="2" t="n">
        <v>74</v>
      </c>
      <c r="B75" s="3" t="s">
        <v>45</v>
      </c>
      <c r="C75" s="3" t="s">
        <v>14</v>
      </c>
      <c r="D75" s="3" t="s">
        <v>24</v>
      </c>
      <c r="E75" s="3" t="s">
        <v>33</v>
      </c>
      <c r="F75" s="3" t="s">
        <v>23</v>
      </c>
      <c r="G75" s="3" t="s">
        <v>30</v>
      </c>
      <c r="H75" s="2" t="n">
        <v>13</v>
      </c>
      <c r="I75" s="2" t="n">
        <v>1</v>
      </c>
      <c r="J75" s="4" t="n">
        <v>277.55</v>
      </c>
      <c r="K75" s="4" t="n">
        <v>71.88</v>
      </c>
      <c r="L75" s="5" t="n">
        <f aca="false">IF(H75=0,0,I75/H75)</f>
        <v>0.0769230769230769</v>
      </c>
      <c r="M75" s="6" t="n">
        <f aca="false">IF(I75=0,0,J75/I75)</f>
        <v>277.55</v>
      </c>
    </row>
    <row r="76" customFormat="false" ht="15" hidden="false" customHeight="false" outlineLevel="0" collapsed="false">
      <c r="A76" s="2" t="n">
        <v>75</v>
      </c>
      <c r="B76" s="3" t="s">
        <v>45</v>
      </c>
      <c r="C76" s="3" t="s">
        <v>14</v>
      </c>
      <c r="D76" s="3" t="s">
        <v>24</v>
      </c>
      <c r="E76" s="3" t="s">
        <v>25</v>
      </c>
      <c r="F76" s="3" t="s">
        <v>23</v>
      </c>
      <c r="G76" s="3" t="s">
        <v>26</v>
      </c>
      <c r="H76" s="2" t="n">
        <v>11</v>
      </c>
      <c r="I76" s="2" t="n">
        <v>1</v>
      </c>
      <c r="J76" s="4" t="n">
        <v>314.76</v>
      </c>
      <c r="K76" s="4" t="n">
        <v>73.3</v>
      </c>
      <c r="L76" s="5" t="n">
        <f aca="false">IF(H76=0,0,I76/H76)</f>
        <v>0.0909090909090909</v>
      </c>
      <c r="M76" s="6" t="n">
        <f aca="false">IF(I76=0,0,J76/I76)</f>
        <v>314.76</v>
      </c>
    </row>
    <row r="77" customFormat="false" ht="15" hidden="false" customHeight="false" outlineLevel="0" collapsed="false">
      <c r="A77" s="2" t="n">
        <v>76</v>
      </c>
      <c r="B77" s="3" t="s">
        <v>45</v>
      </c>
      <c r="C77" s="3" t="s">
        <v>14</v>
      </c>
      <c r="D77" s="3" t="s">
        <v>19</v>
      </c>
      <c r="E77" s="3" t="s">
        <v>16</v>
      </c>
      <c r="F77" s="3" t="s">
        <v>23</v>
      </c>
      <c r="G77" s="3" t="s">
        <v>30</v>
      </c>
      <c r="H77" s="2" t="n">
        <v>9</v>
      </c>
      <c r="I77" s="2" t="n">
        <v>1</v>
      </c>
      <c r="J77" s="4" t="n">
        <v>920.89</v>
      </c>
      <c r="K77" s="4" t="n">
        <v>130.94</v>
      </c>
      <c r="L77" s="5" t="n">
        <f aca="false">IF(H77=0,0,I77/H77)</f>
        <v>0.111111111111111</v>
      </c>
      <c r="M77" s="6" t="n">
        <f aca="false">IF(I77=0,0,J77/I77)</f>
        <v>920.89</v>
      </c>
    </row>
    <row r="78" customFormat="false" ht="15" hidden="false" customHeight="false" outlineLevel="0" collapsed="false">
      <c r="A78" s="2" t="n">
        <v>77</v>
      </c>
      <c r="B78" s="3" t="s">
        <v>45</v>
      </c>
      <c r="C78" s="3" t="s">
        <v>14</v>
      </c>
      <c r="D78" s="3" t="s">
        <v>15</v>
      </c>
      <c r="E78" s="3" t="s">
        <v>25</v>
      </c>
      <c r="F78" s="3" t="s">
        <v>17</v>
      </c>
      <c r="G78" s="3" t="s">
        <v>21</v>
      </c>
      <c r="H78" s="2" t="n">
        <v>8</v>
      </c>
      <c r="I78" s="2" t="n">
        <v>4</v>
      </c>
      <c r="J78" s="4" t="n">
        <v>645.65</v>
      </c>
      <c r="K78" s="4" t="n">
        <v>204.68</v>
      </c>
      <c r="L78" s="5" t="n">
        <f aca="false">IF(H78=0,0,I78/H78)</f>
        <v>0.5</v>
      </c>
      <c r="M78" s="6" t="n">
        <f aca="false">IF(I78=0,0,J78/I78)</f>
        <v>161.4125</v>
      </c>
    </row>
    <row r="79" customFormat="false" ht="15" hidden="false" customHeight="false" outlineLevel="0" collapsed="false">
      <c r="A79" s="2" t="n">
        <v>78</v>
      </c>
      <c r="B79" s="3" t="s">
        <v>45</v>
      </c>
      <c r="C79" s="3" t="s">
        <v>14</v>
      </c>
      <c r="D79" s="3" t="s">
        <v>22</v>
      </c>
      <c r="E79" s="3" t="s">
        <v>16</v>
      </c>
      <c r="F79" s="3" t="s">
        <v>17</v>
      </c>
      <c r="G79" s="3" t="s">
        <v>30</v>
      </c>
      <c r="H79" s="2" t="n">
        <v>7</v>
      </c>
      <c r="I79" s="2" t="n">
        <v>3</v>
      </c>
      <c r="J79" s="4" t="n">
        <v>295.91</v>
      </c>
      <c r="K79" s="4" t="n">
        <v>133.62</v>
      </c>
      <c r="L79" s="5" t="n">
        <f aca="false">IF(H79=0,0,I79/H79)</f>
        <v>0.428571428571429</v>
      </c>
      <c r="M79" s="6" t="n">
        <f aca="false">IF(I79=0,0,J79/I79)</f>
        <v>98.6366666666667</v>
      </c>
    </row>
    <row r="80" customFormat="false" ht="15" hidden="false" customHeight="false" outlineLevel="0" collapsed="false">
      <c r="A80" s="2" t="n">
        <v>79</v>
      </c>
      <c r="B80" s="3" t="s">
        <v>45</v>
      </c>
      <c r="C80" s="3" t="s">
        <v>14</v>
      </c>
      <c r="D80" s="3" t="s">
        <v>22</v>
      </c>
      <c r="E80" s="3" t="s">
        <v>16</v>
      </c>
      <c r="F80" s="3" t="s">
        <v>23</v>
      </c>
      <c r="G80" s="3" t="s">
        <v>30</v>
      </c>
      <c r="H80" s="2" t="n">
        <v>8</v>
      </c>
      <c r="I80" s="2" t="n">
        <v>2</v>
      </c>
      <c r="J80" s="4" t="n">
        <v>227.09</v>
      </c>
      <c r="K80" s="4" t="n">
        <v>95.89</v>
      </c>
      <c r="L80" s="5" t="n">
        <f aca="false">IF(H80=0,0,I80/H80)</f>
        <v>0.25</v>
      </c>
      <c r="M80" s="6" t="n">
        <f aca="false">IF(I80=0,0,J80/I80)</f>
        <v>113.545</v>
      </c>
    </row>
    <row r="81" customFormat="false" ht="15" hidden="false" customHeight="false" outlineLevel="0" collapsed="false">
      <c r="A81" s="2" t="n">
        <v>80</v>
      </c>
      <c r="B81" s="3" t="s">
        <v>45</v>
      </c>
      <c r="C81" s="3" t="s">
        <v>14</v>
      </c>
      <c r="D81" s="3" t="s">
        <v>15</v>
      </c>
      <c r="E81" s="3" t="s">
        <v>33</v>
      </c>
      <c r="F81" s="3" t="s">
        <v>23</v>
      </c>
      <c r="G81" s="3" t="s">
        <v>30</v>
      </c>
      <c r="H81" s="2" t="n">
        <v>4</v>
      </c>
      <c r="I81" s="2" t="n">
        <v>0</v>
      </c>
      <c r="J81" s="4" t="n">
        <v>0</v>
      </c>
      <c r="K81" s="4" t="n">
        <v>0</v>
      </c>
      <c r="L81" s="5" t="n">
        <f aca="false">IF(H81=0,0,I81/H81)</f>
        <v>0</v>
      </c>
      <c r="M81" s="6" t="n">
        <f aca="false">IF(I81=0,0,J81/I81)</f>
        <v>0</v>
      </c>
    </row>
    <row r="82" customFormat="false" ht="15" hidden="false" customHeight="false" outlineLevel="0" collapsed="false">
      <c r="A82" s="2" t="n">
        <v>81</v>
      </c>
      <c r="B82" s="3" t="s">
        <v>46</v>
      </c>
      <c r="C82" s="3" t="s">
        <v>14</v>
      </c>
      <c r="D82" s="3" t="s">
        <v>27</v>
      </c>
      <c r="E82" s="3" t="s">
        <v>25</v>
      </c>
      <c r="F82" s="3" t="s">
        <v>17</v>
      </c>
      <c r="G82" s="3" t="s">
        <v>26</v>
      </c>
      <c r="H82" s="2" t="n">
        <v>3</v>
      </c>
      <c r="I82" s="2" t="n">
        <v>1</v>
      </c>
      <c r="J82" s="4" t="n">
        <v>1248.48</v>
      </c>
      <c r="K82" s="4" t="n">
        <v>230.96</v>
      </c>
      <c r="L82" s="5" t="n">
        <f aca="false">IF(H82=0,0,I82/H82)</f>
        <v>0.333333333333333</v>
      </c>
      <c r="M82" s="6" t="n">
        <f aca="false">IF(I82=0,0,J82/I82)</f>
        <v>1248.48</v>
      </c>
    </row>
    <row r="83" customFormat="false" ht="15" hidden="false" customHeight="false" outlineLevel="0" collapsed="false">
      <c r="A83" s="2" t="n">
        <v>82</v>
      </c>
      <c r="B83" s="3" t="s">
        <v>46</v>
      </c>
      <c r="C83" s="3" t="s">
        <v>14</v>
      </c>
      <c r="D83" s="3" t="s">
        <v>27</v>
      </c>
      <c r="E83" s="3" t="s">
        <v>16</v>
      </c>
      <c r="F83" s="3" t="s">
        <v>20</v>
      </c>
      <c r="G83" s="3" t="s">
        <v>30</v>
      </c>
      <c r="H83" s="2" t="n">
        <v>9</v>
      </c>
      <c r="I83" s="2" t="n">
        <v>3</v>
      </c>
      <c r="J83" s="4" t="n">
        <v>4912.19</v>
      </c>
      <c r="K83" s="4" t="n">
        <v>909.17</v>
      </c>
      <c r="L83" s="5" t="n">
        <f aca="false">IF(H83=0,0,I83/H83)</f>
        <v>0.333333333333333</v>
      </c>
      <c r="M83" s="6" t="n">
        <f aca="false">IF(I83=0,0,J83/I83)</f>
        <v>1637.39666666667</v>
      </c>
    </row>
    <row r="84" customFormat="false" ht="15" hidden="false" customHeight="false" outlineLevel="0" collapsed="false">
      <c r="A84" s="2" t="n">
        <v>83</v>
      </c>
      <c r="B84" s="3" t="s">
        <v>46</v>
      </c>
      <c r="C84" s="3" t="s">
        <v>14</v>
      </c>
      <c r="D84" s="3" t="s">
        <v>19</v>
      </c>
      <c r="E84" s="3" t="s">
        <v>25</v>
      </c>
      <c r="F84" s="3" t="s">
        <v>23</v>
      </c>
      <c r="G84" s="3" t="s">
        <v>31</v>
      </c>
      <c r="H84" s="2" t="n">
        <v>7</v>
      </c>
      <c r="I84" s="2" t="n">
        <v>1</v>
      </c>
      <c r="J84" s="4" t="n">
        <v>688.51</v>
      </c>
      <c r="K84" s="4" t="n">
        <v>98.71</v>
      </c>
      <c r="L84" s="5" t="n">
        <f aca="false">IF(H84=0,0,I84/H84)</f>
        <v>0.142857142857143</v>
      </c>
      <c r="M84" s="6" t="n">
        <f aca="false">IF(I84=0,0,J84/I84)</f>
        <v>688.51</v>
      </c>
    </row>
    <row r="85" customFormat="false" ht="15" hidden="false" customHeight="false" outlineLevel="0" collapsed="false">
      <c r="A85" s="2" t="n">
        <v>84</v>
      </c>
      <c r="B85" s="3" t="s">
        <v>46</v>
      </c>
      <c r="C85" s="3" t="s">
        <v>14</v>
      </c>
      <c r="D85" s="3" t="s">
        <v>15</v>
      </c>
      <c r="E85" s="3" t="s">
        <v>28</v>
      </c>
      <c r="F85" s="3" t="s">
        <v>23</v>
      </c>
      <c r="G85" s="3" t="s">
        <v>21</v>
      </c>
      <c r="H85" s="2" t="n">
        <v>5</v>
      </c>
      <c r="I85" s="2" t="n">
        <v>1</v>
      </c>
      <c r="J85" s="4" t="n">
        <v>180.8</v>
      </c>
      <c r="K85" s="4" t="n">
        <v>53.34</v>
      </c>
      <c r="L85" s="5" t="n">
        <f aca="false">IF(H85=0,0,I85/H85)</f>
        <v>0.2</v>
      </c>
      <c r="M85" s="6" t="n">
        <f aca="false">IF(I85=0,0,J85/I85)</f>
        <v>180.8</v>
      </c>
    </row>
    <row r="86" customFormat="false" ht="15" hidden="false" customHeight="false" outlineLevel="0" collapsed="false">
      <c r="A86" s="2" t="n">
        <v>85</v>
      </c>
      <c r="B86" s="3" t="s">
        <v>46</v>
      </c>
      <c r="C86" s="3" t="s">
        <v>14</v>
      </c>
      <c r="D86" s="3" t="s">
        <v>24</v>
      </c>
      <c r="E86" s="3" t="s">
        <v>25</v>
      </c>
      <c r="F86" s="3" t="s">
        <v>23</v>
      </c>
      <c r="G86" s="3" t="s">
        <v>34</v>
      </c>
      <c r="H86" s="2" t="n">
        <v>3</v>
      </c>
      <c r="I86" s="2" t="n">
        <v>1</v>
      </c>
      <c r="J86" s="4" t="n">
        <v>326.94</v>
      </c>
      <c r="K86" s="4" t="n">
        <v>81.74</v>
      </c>
      <c r="L86" s="5" t="n">
        <f aca="false">IF(H86=0,0,I86/H86)</f>
        <v>0.333333333333333</v>
      </c>
      <c r="M86" s="6" t="n">
        <f aca="false">IF(I86=0,0,J86/I86)</f>
        <v>326.94</v>
      </c>
    </row>
    <row r="87" customFormat="false" ht="15" hidden="false" customHeight="false" outlineLevel="0" collapsed="false">
      <c r="A87" s="2" t="n">
        <v>86</v>
      </c>
      <c r="B87" s="3" t="s">
        <v>46</v>
      </c>
      <c r="C87" s="3" t="s">
        <v>14</v>
      </c>
      <c r="D87" s="3" t="s">
        <v>24</v>
      </c>
      <c r="E87" s="3" t="s">
        <v>28</v>
      </c>
      <c r="F87" s="3" t="s">
        <v>17</v>
      </c>
      <c r="G87" s="3" t="s">
        <v>18</v>
      </c>
      <c r="H87" s="2" t="n">
        <v>10</v>
      </c>
      <c r="I87" s="2" t="n">
        <v>1</v>
      </c>
      <c r="J87" s="4" t="n">
        <v>211.16</v>
      </c>
      <c r="K87" s="4" t="n">
        <v>54.04</v>
      </c>
      <c r="L87" s="5" t="n">
        <f aca="false">IF(H87=0,0,I87/H87)</f>
        <v>0.1</v>
      </c>
      <c r="M87" s="6" t="n">
        <f aca="false">IF(I87=0,0,J87/I87)</f>
        <v>211.16</v>
      </c>
    </row>
    <row r="88" customFormat="false" ht="15" hidden="false" customHeight="false" outlineLevel="0" collapsed="false">
      <c r="A88" s="2" t="n">
        <v>87</v>
      </c>
      <c r="B88" s="3" t="s">
        <v>46</v>
      </c>
      <c r="C88" s="3" t="s">
        <v>14</v>
      </c>
      <c r="D88" s="3" t="s">
        <v>27</v>
      </c>
      <c r="E88" s="3" t="s">
        <v>16</v>
      </c>
      <c r="F88" s="3" t="s">
        <v>17</v>
      </c>
      <c r="G88" s="3" t="s">
        <v>18</v>
      </c>
      <c r="H88" s="2" t="n">
        <v>5</v>
      </c>
      <c r="I88" s="2" t="n">
        <v>1</v>
      </c>
      <c r="J88" s="4" t="n">
        <v>1517.48</v>
      </c>
      <c r="K88" s="4" t="n">
        <v>264.9</v>
      </c>
      <c r="L88" s="5" t="n">
        <f aca="false">IF(H88=0,0,I88/H88)</f>
        <v>0.2</v>
      </c>
      <c r="M88" s="6" t="n">
        <f aca="false">IF(I88=0,0,J88/I88)</f>
        <v>1517.48</v>
      </c>
    </row>
    <row r="89" customFormat="false" ht="15" hidden="false" customHeight="false" outlineLevel="0" collapsed="false">
      <c r="A89" s="2" t="n">
        <v>88</v>
      </c>
      <c r="B89" s="3" t="s">
        <v>47</v>
      </c>
      <c r="C89" s="3" t="s">
        <v>14</v>
      </c>
      <c r="D89" s="3" t="s">
        <v>24</v>
      </c>
      <c r="E89" s="3" t="s">
        <v>33</v>
      </c>
      <c r="F89" s="3" t="s">
        <v>23</v>
      </c>
      <c r="G89" s="3" t="s">
        <v>21</v>
      </c>
      <c r="H89" s="2" t="n">
        <v>6</v>
      </c>
      <c r="I89" s="2" t="n">
        <v>0</v>
      </c>
      <c r="J89" s="4" t="n">
        <v>0</v>
      </c>
      <c r="K89" s="4" t="n">
        <v>0</v>
      </c>
      <c r="L89" s="5" t="n">
        <f aca="false">IF(H89=0,0,I89/H89)</f>
        <v>0</v>
      </c>
      <c r="M89" s="6" t="n">
        <f aca="false">IF(I89=0,0,J89/I89)</f>
        <v>0</v>
      </c>
    </row>
    <row r="90" customFormat="false" ht="15" hidden="false" customHeight="false" outlineLevel="0" collapsed="false">
      <c r="A90" s="2" t="n">
        <v>89</v>
      </c>
      <c r="B90" s="3" t="s">
        <v>47</v>
      </c>
      <c r="C90" s="3" t="s">
        <v>14</v>
      </c>
      <c r="D90" s="3" t="s">
        <v>24</v>
      </c>
      <c r="E90" s="3" t="s">
        <v>33</v>
      </c>
      <c r="F90" s="3" t="s">
        <v>20</v>
      </c>
      <c r="G90" s="3" t="s">
        <v>21</v>
      </c>
      <c r="H90" s="2" t="n">
        <v>11</v>
      </c>
      <c r="I90" s="2" t="n">
        <v>1</v>
      </c>
      <c r="J90" s="4" t="n">
        <v>246.23</v>
      </c>
      <c r="K90" s="4" t="n">
        <v>65.19</v>
      </c>
      <c r="L90" s="5" t="n">
        <f aca="false">IF(H90=0,0,I90/H90)</f>
        <v>0.0909090909090909</v>
      </c>
      <c r="M90" s="6" t="n">
        <f aca="false">IF(I90=0,0,J90/I90)</f>
        <v>246.23</v>
      </c>
    </row>
    <row r="91" customFormat="false" ht="15" hidden="false" customHeight="false" outlineLevel="0" collapsed="false">
      <c r="A91" s="2" t="n">
        <v>90</v>
      </c>
      <c r="B91" s="3" t="s">
        <v>47</v>
      </c>
      <c r="C91" s="3" t="s">
        <v>14</v>
      </c>
      <c r="D91" s="3" t="s">
        <v>22</v>
      </c>
      <c r="E91" s="3" t="s">
        <v>25</v>
      </c>
      <c r="F91" s="3" t="s">
        <v>23</v>
      </c>
      <c r="G91" s="3" t="s">
        <v>31</v>
      </c>
      <c r="H91" s="2" t="n">
        <v>8</v>
      </c>
      <c r="I91" s="2" t="n">
        <v>2</v>
      </c>
      <c r="J91" s="4" t="n">
        <v>236.52</v>
      </c>
      <c r="K91" s="4" t="n">
        <v>102.8</v>
      </c>
      <c r="L91" s="5" t="n">
        <f aca="false">IF(H91=0,0,I91/H91)</f>
        <v>0.25</v>
      </c>
      <c r="M91" s="6" t="n">
        <f aca="false">IF(I91=0,0,J91/I91)</f>
        <v>118.26</v>
      </c>
    </row>
    <row r="92" customFormat="false" ht="15" hidden="false" customHeight="false" outlineLevel="0" collapsed="false">
      <c r="A92" s="2" t="n">
        <v>91</v>
      </c>
      <c r="B92" s="3" t="s">
        <v>47</v>
      </c>
      <c r="C92" s="3" t="s">
        <v>14</v>
      </c>
      <c r="D92" s="3" t="s">
        <v>24</v>
      </c>
      <c r="E92" s="3" t="s">
        <v>28</v>
      </c>
      <c r="F92" s="3" t="s">
        <v>23</v>
      </c>
      <c r="G92" s="3" t="s">
        <v>26</v>
      </c>
      <c r="H92" s="2" t="n">
        <v>9</v>
      </c>
      <c r="I92" s="2" t="n">
        <v>2</v>
      </c>
      <c r="J92" s="4" t="n">
        <v>676.21</v>
      </c>
      <c r="K92" s="4" t="n">
        <v>173.64</v>
      </c>
      <c r="L92" s="5" t="n">
        <f aca="false">IF(H92=0,0,I92/H92)</f>
        <v>0.222222222222222</v>
      </c>
      <c r="M92" s="6" t="n">
        <f aca="false">IF(I92=0,0,J92/I92)</f>
        <v>338.105</v>
      </c>
    </row>
    <row r="93" customFormat="false" ht="15" hidden="false" customHeight="false" outlineLevel="0" collapsed="false">
      <c r="A93" s="2" t="n">
        <v>92</v>
      </c>
      <c r="B93" s="3" t="s">
        <v>47</v>
      </c>
      <c r="C93" s="3" t="s">
        <v>14</v>
      </c>
      <c r="D93" s="3" t="s">
        <v>19</v>
      </c>
      <c r="E93" s="3" t="s">
        <v>25</v>
      </c>
      <c r="F93" s="3" t="s">
        <v>23</v>
      </c>
      <c r="G93" s="3" t="s">
        <v>21</v>
      </c>
      <c r="H93" s="2" t="n">
        <v>4</v>
      </c>
      <c r="I93" s="2" t="n">
        <v>0</v>
      </c>
      <c r="J93" s="4" t="n">
        <v>0</v>
      </c>
      <c r="K93" s="4" t="n">
        <v>0</v>
      </c>
      <c r="L93" s="5" t="n">
        <f aca="false">IF(H93=0,0,I93/H93)</f>
        <v>0</v>
      </c>
      <c r="M93" s="6" t="n">
        <f aca="false">IF(I93=0,0,J93/I93)</f>
        <v>0</v>
      </c>
    </row>
    <row r="94" customFormat="false" ht="15" hidden="false" customHeight="false" outlineLevel="0" collapsed="false">
      <c r="A94" s="2" t="n">
        <v>93</v>
      </c>
      <c r="B94" s="3" t="s">
        <v>47</v>
      </c>
      <c r="C94" s="3" t="s">
        <v>14</v>
      </c>
      <c r="D94" s="3" t="s">
        <v>22</v>
      </c>
      <c r="E94" s="3" t="s">
        <v>25</v>
      </c>
      <c r="F94" s="3" t="s">
        <v>23</v>
      </c>
      <c r="G94" s="3" t="s">
        <v>31</v>
      </c>
      <c r="H94" s="2" t="n">
        <v>6</v>
      </c>
      <c r="I94" s="2" t="n">
        <v>2</v>
      </c>
      <c r="J94" s="4" t="n">
        <v>285</v>
      </c>
      <c r="K94" s="4" t="n">
        <v>127.88</v>
      </c>
      <c r="L94" s="5" t="n">
        <f aca="false">IF(H94=0,0,I94/H94)</f>
        <v>0.333333333333333</v>
      </c>
      <c r="M94" s="6" t="n">
        <f aca="false">IF(I94=0,0,J94/I94)</f>
        <v>142.5</v>
      </c>
    </row>
    <row r="95" customFormat="false" ht="15" hidden="false" customHeight="false" outlineLevel="0" collapsed="false">
      <c r="A95" s="2" t="n">
        <v>94</v>
      </c>
      <c r="B95" s="3" t="s">
        <v>47</v>
      </c>
      <c r="C95" s="3" t="s">
        <v>14</v>
      </c>
      <c r="D95" s="3" t="s">
        <v>19</v>
      </c>
      <c r="E95" s="3" t="s">
        <v>25</v>
      </c>
      <c r="F95" s="3" t="s">
        <v>23</v>
      </c>
      <c r="G95" s="3" t="s">
        <v>31</v>
      </c>
      <c r="H95" s="2" t="n">
        <v>8</v>
      </c>
      <c r="I95" s="2" t="n">
        <v>0</v>
      </c>
      <c r="J95" s="4" t="n">
        <v>0</v>
      </c>
      <c r="K95" s="4" t="n">
        <v>0</v>
      </c>
      <c r="L95" s="5" t="n">
        <f aca="false">IF(H95=0,0,I95/H95)</f>
        <v>0</v>
      </c>
      <c r="M95" s="6" t="n">
        <f aca="false">IF(I95=0,0,J95/I95)</f>
        <v>0</v>
      </c>
    </row>
    <row r="96" customFormat="false" ht="15" hidden="false" customHeight="false" outlineLevel="0" collapsed="false">
      <c r="A96" s="2" t="n">
        <v>95</v>
      </c>
      <c r="B96" s="3" t="s">
        <v>48</v>
      </c>
      <c r="C96" s="3" t="s">
        <v>14</v>
      </c>
      <c r="D96" s="3" t="s">
        <v>15</v>
      </c>
      <c r="E96" s="3" t="s">
        <v>25</v>
      </c>
      <c r="F96" s="3" t="s">
        <v>20</v>
      </c>
      <c r="G96" s="3" t="s">
        <v>18</v>
      </c>
      <c r="H96" s="2" t="n">
        <v>9</v>
      </c>
      <c r="I96" s="2" t="n">
        <v>1</v>
      </c>
      <c r="J96" s="4" t="n">
        <v>160.63</v>
      </c>
      <c r="K96" s="4" t="n">
        <v>49.69</v>
      </c>
      <c r="L96" s="5" t="n">
        <f aca="false">IF(H96=0,0,I96/H96)</f>
        <v>0.111111111111111</v>
      </c>
      <c r="M96" s="6" t="n">
        <f aca="false">IF(I96=0,0,J96/I96)</f>
        <v>160.63</v>
      </c>
    </row>
    <row r="97" customFormat="false" ht="15" hidden="false" customHeight="false" outlineLevel="0" collapsed="false">
      <c r="A97" s="2" t="n">
        <v>96</v>
      </c>
      <c r="B97" s="3" t="s">
        <v>48</v>
      </c>
      <c r="C97" s="3" t="s">
        <v>14</v>
      </c>
      <c r="D97" s="3" t="s">
        <v>22</v>
      </c>
      <c r="E97" s="3" t="s">
        <v>28</v>
      </c>
      <c r="F97" s="3" t="s">
        <v>20</v>
      </c>
      <c r="G97" s="3" t="s">
        <v>34</v>
      </c>
      <c r="H97" s="2" t="n">
        <v>10</v>
      </c>
      <c r="I97" s="2" t="n">
        <v>3</v>
      </c>
      <c r="J97" s="4" t="n">
        <v>370.21</v>
      </c>
      <c r="K97" s="4" t="n">
        <v>148.83</v>
      </c>
      <c r="L97" s="5" t="n">
        <f aca="false">IF(H97=0,0,I97/H97)</f>
        <v>0.3</v>
      </c>
      <c r="M97" s="6" t="n">
        <f aca="false">IF(I97=0,0,J97/I97)</f>
        <v>123.403333333333</v>
      </c>
    </row>
    <row r="98" customFormat="false" ht="15" hidden="false" customHeight="false" outlineLevel="0" collapsed="false">
      <c r="A98" s="2" t="n">
        <v>97</v>
      </c>
      <c r="B98" s="3" t="s">
        <v>48</v>
      </c>
      <c r="C98" s="3" t="s">
        <v>14</v>
      </c>
      <c r="D98" s="3" t="s">
        <v>19</v>
      </c>
      <c r="E98" s="3" t="s">
        <v>33</v>
      </c>
      <c r="F98" s="3" t="s">
        <v>23</v>
      </c>
      <c r="G98" s="3" t="s">
        <v>18</v>
      </c>
      <c r="H98" s="2" t="n">
        <v>7</v>
      </c>
      <c r="I98" s="2" t="n">
        <v>0</v>
      </c>
      <c r="J98" s="4" t="n">
        <v>0</v>
      </c>
      <c r="K98" s="4" t="n">
        <v>0</v>
      </c>
      <c r="L98" s="5" t="n">
        <f aca="false">IF(H98=0,0,I98/H98)</f>
        <v>0</v>
      </c>
      <c r="M98" s="6" t="n">
        <f aca="false">IF(I98=0,0,J98/I98)</f>
        <v>0</v>
      </c>
    </row>
    <row r="99" customFormat="false" ht="15" hidden="false" customHeight="false" outlineLevel="0" collapsed="false">
      <c r="A99" s="2" t="n">
        <v>98</v>
      </c>
      <c r="B99" s="3" t="s">
        <v>48</v>
      </c>
      <c r="C99" s="3" t="s">
        <v>14</v>
      </c>
      <c r="D99" s="3" t="s">
        <v>19</v>
      </c>
      <c r="E99" s="3" t="s">
        <v>28</v>
      </c>
      <c r="F99" s="3" t="s">
        <v>23</v>
      </c>
      <c r="G99" s="3" t="s">
        <v>34</v>
      </c>
      <c r="H99" s="2" t="n">
        <v>4</v>
      </c>
      <c r="I99" s="2" t="n">
        <v>1</v>
      </c>
      <c r="J99" s="4" t="n">
        <v>926.44</v>
      </c>
      <c r="K99" s="4" t="n">
        <v>132.47</v>
      </c>
      <c r="L99" s="5" t="n">
        <f aca="false">IF(H99=0,0,I99/H99)</f>
        <v>0.25</v>
      </c>
      <c r="M99" s="6" t="n">
        <f aca="false">IF(I99=0,0,J99/I99)</f>
        <v>926.44</v>
      </c>
    </row>
    <row r="100" customFormat="false" ht="15" hidden="false" customHeight="false" outlineLevel="0" collapsed="false">
      <c r="A100" s="2" t="n">
        <v>99</v>
      </c>
      <c r="B100" s="3" t="s">
        <v>48</v>
      </c>
      <c r="C100" s="3" t="s">
        <v>14</v>
      </c>
      <c r="D100" s="3" t="s">
        <v>19</v>
      </c>
      <c r="E100" s="3" t="s">
        <v>16</v>
      </c>
      <c r="F100" s="3" t="s">
        <v>23</v>
      </c>
      <c r="G100" s="3" t="s">
        <v>31</v>
      </c>
      <c r="H100" s="2" t="n">
        <v>6</v>
      </c>
      <c r="I100" s="2" t="n">
        <v>1</v>
      </c>
      <c r="J100" s="4" t="n">
        <v>1024.37</v>
      </c>
      <c r="K100" s="4" t="n">
        <v>148.77</v>
      </c>
      <c r="L100" s="5" t="n">
        <f aca="false">IF(H100=0,0,I100/H100)</f>
        <v>0.166666666666667</v>
      </c>
      <c r="M100" s="6" t="n">
        <f aca="false">IF(I100=0,0,J100/I100)</f>
        <v>1024.37</v>
      </c>
    </row>
    <row r="101" customFormat="false" ht="15" hidden="false" customHeight="false" outlineLevel="0" collapsed="false">
      <c r="A101" s="2" t="n">
        <v>100</v>
      </c>
      <c r="B101" s="3" t="s">
        <v>48</v>
      </c>
      <c r="C101" s="3" t="s">
        <v>14</v>
      </c>
      <c r="D101" s="3" t="s">
        <v>15</v>
      </c>
      <c r="E101" s="3" t="s">
        <v>16</v>
      </c>
      <c r="F101" s="3" t="s">
        <v>23</v>
      </c>
      <c r="G101" s="3" t="s">
        <v>26</v>
      </c>
      <c r="H101" s="2" t="n">
        <v>9</v>
      </c>
      <c r="I101" s="2" t="n">
        <v>0</v>
      </c>
      <c r="J101" s="4" t="n">
        <v>0</v>
      </c>
      <c r="K101" s="4" t="n">
        <v>0</v>
      </c>
      <c r="L101" s="5" t="n">
        <f aca="false">IF(H101=0,0,I101/H101)</f>
        <v>0</v>
      </c>
      <c r="M101" s="6" t="n">
        <f aca="false">IF(I101=0,0,J101/I101)</f>
        <v>0</v>
      </c>
    </row>
    <row r="102" customFormat="false" ht="15" hidden="false" customHeight="false" outlineLevel="0" collapsed="false">
      <c r="A102" s="2" t="n">
        <v>101</v>
      </c>
      <c r="B102" s="3" t="s">
        <v>48</v>
      </c>
      <c r="C102" s="3" t="s">
        <v>14</v>
      </c>
      <c r="D102" s="3" t="s">
        <v>24</v>
      </c>
      <c r="E102" s="3" t="s">
        <v>25</v>
      </c>
      <c r="F102" s="3" t="s">
        <v>23</v>
      </c>
      <c r="G102" s="3" t="s">
        <v>31</v>
      </c>
      <c r="H102" s="2" t="n">
        <v>8</v>
      </c>
      <c r="I102" s="2" t="n">
        <v>4</v>
      </c>
      <c r="J102" s="4" t="n">
        <v>1324.73</v>
      </c>
      <c r="K102" s="4" t="n">
        <v>321.4</v>
      </c>
      <c r="L102" s="5" t="n">
        <f aca="false">IF(H102=0,0,I102/H102)</f>
        <v>0.5</v>
      </c>
      <c r="M102" s="6" t="n">
        <f aca="false">IF(I102=0,0,J102/I102)</f>
        <v>331.1825</v>
      </c>
    </row>
    <row r="103" customFormat="false" ht="15" hidden="false" customHeight="false" outlineLevel="0" collapsed="false">
      <c r="A103" s="2" t="n">
        <v>102</v>
      </c>
      <c r="B103" s="3" t="s">
        <v>48</v>
      </c>
      <c r="C103" s="3" t="s">
        <v>14</v>
      </c>
      <c r="D103" s="3" t="s">
        <v>24</v>
      </c>
      <c r="E103" s="3" t="s">
        <v>25</v>
      </c>
      <c r="F103" s="3" t="s">
        <v>23</v>
      </c>
      <c r="G103" s="3" t="s">
        <v>21</v>
      </c>
      <c r="H103" s="2" t="n">
        <v>10</v>
      </c>
      <c r="I103" s="2" t="n">
        <v>6</v>
      </c>
      <c r="J103" s="4" t="n">
        <v>1669.58</v>
      </c>
      <c r="K103" s="4" t="n">
        <v>387.2</v>
      </c>
      <c r="L103" s="5" t="n">
        <f aca="false">IF(H103=0,0,I103/H103)</f>
        <v>0.6</v>
      </c>
      <c r="M103" s="6" t="n">
        <f aca="false">IF(I103=0,0,J103/I103)</f>
        <v>278.263333333333</v>
      </c>
    </row>
    <row r="104" customFormat="false" ht="15" hidden="false" customHeight="false" outlineLevel="0" collapsed="false">
      <c r="A104" s="2" t="n">
        <v>103</v>
      </c>
      <c r="B104" s="3" t="s">
        <v>48</v>
      </c>
      <c r="C104" s="3" t="s">
        <v>14</v>
      </c>
      <c r="D104" s="3" t="s">
        <v>19</v>
      </c>
      <c r="E104" s="3" t="s">
        <v>33</v>
      </c>
      <c r="F104" s="3" t="s">
        <v>20</v>
      </c>
      <c r="G104" s="3" t="s">
        <v>26</v>
      </c>
      <c r="H104" s="2" t="n">
        <v>4</v>
      </c>
      <c r="I104" s="2" t="n">
        <v>0</v>
      </c>
      <c r="J104" s="4" t="n">
        <v>0</v>
      </c>
      <c r="K104" s="4" t="n">
        <v>0</v>
      </c>
      <c r="L104" s="5" t="n">
        <f aca="false">IF(H104=0,0,I104/H104)</f>
        <v>0</v>
      </c>
      <c r="M104" s="6" t="n">
        <f aca="false">IF(I104=0,0,J104/I104)</f>
        <v>0</v>
      </c>
    </row>
    <row r="105" customFormat="false" ht="15" hidden="false" customHeight="false" outlineLevel="0" collapsed="false">
      <c r="A105" s="2" t="n">
        <v>104</v>
      </c>
      <c r="B105" s="3" t="s">
        <v>48</v>
      </c>
      <c r="C105" s="3" t="s">
        <v>14</v>
      </c>
      <c r="D105" s="3" t="s">
        <v>19</v>
      </c>
      <c r="E105" s="3" t="s">
        <v>16</v>
      </c>
      <c r="F105" s="3" t="s">
        <v>23</v>
      </c>
      <c r="G105" s="3" t="s">
        <v>30</v>
      </c>
      <c r="H105" s="2" t="n">
        <v>5</v>
      </c>
      <c r="I105" s="2" t="n">
        <v>0</v>
      </c>
      <c r="J105" s="4" t="n">
        <v>0</v>
      </c>
      <c r="K105" s="4" t="n">
        <v>0</v>
      </c>
      <c r="L105" s="5" t="n">
        <f aca="false">IF(H105=0,0,I105/H105)</f>
        <v>0</v>
      </c>
      <c r="M105" s="6" t="n">
        <f aca="false">IF(I105=0,0,J105/I105)</f>
        <v>0</v>
      </c>
    </row>
    <row r="106" customFormat="false" ht="15" hidden="false" customHeight="false" outlineLevel="0" collapsed="false">
      <c r="A106" s="2" t="n">
        <v>105</v>
      </c>
      <c r="B106" s="3" t="s">
        <v>49</v>
      </c>
      <c r="C106" s="3" t="s">
        <v>14</v>
      </c>
      <c r="D106" s="3" t="s">
        <v>19</v>
      </c>
      <c r="E106" s="3" t="s">
        <v>16</v>
      </c>
      <c r="F106" s="3" t="s">
        <v>23</v>
      </c>
      <c r="G106" s="3" t="s">
        <v>34</v>
      </c>
      <c r="H106" s="2" t="n">
        <v>10</v>
      </c>
      <c r="I106" s="2" t="n">
        <v>1</v>
      </c>
      <c r="J106" s="4" t="n">
        <v>1071.38</v>
      </c>
      <c r="K106" s="4" t="n">
        <v>143.38</v>
      </c>
      <c r="L106" s="5" t="n">
        <f aca="false">IF(H106=0,0,I106/H106)</f>
        <v>0.1</v>
      </c>
      <c r="M106" s="6" t="n">
        <f aca="false">IF(I106=0,0,J106/I106)</f>
        <v>1071.38</v>
      </c>
    </row>
    <row r="107" customFormat="false" ht="15" hidden="false" customHeight="false" outlineLevel="0" collapsed="false">
      <c r="A107" s="2" t="n">
        <v>106</v>
      </c>
      <c r="B107" s="3" t="s">
        <v>50</v>
      </c>
      <c r="C107" s="3" t="s">
        <v>14</v>
      </c>
      <c r="D107" s="3" t="s">
        <v>19</v>
      </c>
      <c r="E107" s="3" t="s">
        <v>16</v>
      </c>
      <c r="F107" s="3" t="s">
        <v>17</v>
      </c>
      <c r="G107" s="3" t="s">
        <v>31</v>
      </c>
      <c r="H107" s="2" t="n">
        <v>15</v>
      </c>
      <c r="I107" s="2" t="n">
        <v>1</v>
      </c>
      <c r="J107" s="4" t="n">
        <v>699.08</v>
      </c>
      <c r="K107" s="4" t="n">
        <v>101.41</v>
      </c>
      <c r="L107" s="5" t="n">
        <f aca="false">IF(H107=0,0,I107/H107)</f>
        <v>0.0666666666666667</v>
      </c>
      <c r="M107" s="6" t="n">
        <f aca="false">IF(I107=0,0,J107/I107)</f>
        <v>699.08</v>
      </c>
    </row>
    <row r="108" customFormat="false" ht="15" hidden="false" customHeight="false" outlineLevel="0" collapsed="false">
      <c r="A108" s="2" t="n">
        <v>107</v>
      </c>
      <c r="B108" s="3" t="s">
        <v>50</v>
      </c>
      <c r="C108" s="3" t="s">
        <v>14</v>
      </c>
      <c r="D108" s="3" t="s">
        <v>15</v>
      </c>
      <c r="E108" s="3" t="s">
        <v>16</v>
      </c>
      <c r="F108" s="3" t="s">
        <v>23</v>
      </c>
      <c r="G108" s="3" t="s">
        <v>18</v>
      </c>
      <c r="H108" s="2" t="n">
        <v>10</v>
      </c>
      <c r="I108" s="2" t="n">
        <v>0</v>
      </c>
      <c r="J108" s="4" t="n">
        <v>0</v>
      </c>
      <c r="K108" s="4" t="n">
        <v>0</v>
      </c>
      <c r="L108" s="5" t="n">
        <f aca="false">IF(H108=0,0,I108/H108)</f>
        <v>0</v>
      </c>
      <c r="M108" s="6" t="n">
        <f aca="false">IF(I108=0,0,J108/I108)</f>
        <v>0</v>
      </c>
    </row>
    <row r="109" customFormat="false" ht="15" hidden="false" customHeight="false" outlineLevel="0" collapsed="false">
      <c r="A109" s="2" t="n">
        <v>108</v>
      </c>
      <c r="B109" s="3" t="s">
        <v>50</v>
      </c>
      <c r="C109" s="3" t="s">
        <v>14</v>
      </c>
      <c r="D109" s="3" t="s">
        <v>27</v>
      </c>
      <c r="E109" s="3" t="s">
        <v>16</v>
      </c>
      <c r="F109" s="3" t="s">
        <v>23</v>
      </c>
      <c r="G109" s="3" t="s">
        <v>21</v>
      </c>
      <c r="H109" s="2" t="n">
        <v>11</v>
      </c>
      <c r="I109" s="2" t="n">
        <v>2</v>
      </c>
      <c r="J109" s="4" t="n">
        <v>3385.09</v>
      </c>
      <c r="K109" s="4" t="n">
        <v>626.71</v>
      </c>
      <c r="L109" s="5" t="n">
        <f aca="false">IF(H109=0,0,I109/H109)</f>
        <v>0.181818181818182</v>
      </c>
      <c r="M109" s="6" t="n">
        <f aca="false">IF(I109=0,0,J109/I109)</f>
        <v>1692.545</v>
      </c>
    </row>
    <row r="110" customFormat="false" ht="15" hidden="false" customHeight="false" outlineLevel="0" collapsed="false">
      <c r="A110" s="2" t="n">
        <v>109</v>
      </c>
      <c r="B110" s="3" t="s">
        <v>50</v>
      </c>
      <c r="C110" s="3" t="s">
        <v>14</v>
      </c>
      <c r="D110" s="3" t="s">
        <v>15</v>
      </c>
      <c r="E110" s="3" t="s">
        <v>28</v>
      </c>
      <c r="F110" s="3" t="s">
        <v>23</v>
      </c>
      <c r="G110" s="3" t="s">
        <v>26</v>
      </c>
      <c r="H110" s="2" t="n">
        <v>8</v>
      </c>
      <c r="I110" s="2" t="n">
        <v>2</v>
      </c>
      <c r="J110" s="4" t="n">
        <v>359.3</v>
      </c>
      <c r="K110" s="4" t="n">
        <v>112.86</v>
      </c>
      <c r="L110" s="5" t="n">
        <f aca="false">IF(H110=0,0,I110/H110)</f>
        <v>0.25</v>
      </c>
      <c r="M110" s="6" t="n">
        <f aca="false">IF(I110=0,0,J110/I110)</f>
        <v>179.65</v>
      </c>
    </row>
    <row r="111" customFormat="false" ht="15" hidden="false" customHeight="false" outlineLevel="0" collapsed="false">
      <c r="A111" s="2" t="n">
        <v>110</v>
      </c>
      <c r="B111" s="3" t="s">
        <v>50</v>
      </c>
      <c r="C111" s="3" t="s">
        <v>14</v>
      </c>
      <c r="D111" s="3" t="s">
        <v>19</v>
      </c>
      <c r="E111" s="3" t="s">
        <v>25</v>
      </c>
      <c r="F111" s="3" t="s">
        <v>23</v>
      </c>
      <c r="G111" s="3" t="s">
        <v>30</v>
      </c>
      <c r="H111" s="2" t="n">
        <v>3</v>
      </c>
      <c r="I111" s="2" t="n">
        <v>0</v>
      </c>
      <c r="J111" s="4" t="n">
        <v>0</v>
      </c>
      <c r="K111" s="4" t="n">
        <v>0</v>
      </c>
      <c r="L111" s="5" t="n">
        <f aca="false">IF(H111=0,0,I111/H111)</f>
        <v>0</v>
      </c>
      <c r="M111" s="6" t="n">
        <f aca="false">IF(I111=0,0,J111/I111)</f>
        <v>0</v>
      </c>
    </row>
    <row r="112" customFormat="false" ht="15" hidden="false" customHeight="false" outlineLevel="0" collapsed="false">
      <c r="A112" s="2" t="n">
        <v>111</v>
      </c>
      <c r="B112" s="3" t="s">
        <v>51</v>
      </c>
      <c r="C112" s="3" t="s">
        <v>14</v>
      </c>
      <c r="D112" s="3" t="s">
        <v>15</v>
      </c>
      <c r="E112" s="3" t="s">
        <v>25</v>
      </c>
      <c r="F112" s="3" t="s">
        <v>23</v>
      </c>
      <c r="G112" s="3" t="s">
        <v>30</v>
      </c>
      <c r="H112" s="2" t="n">
        <v>9</v>
      </c>
      <c r="I112" s="2" t="n">
        <v>3</v>
      </c>
      <c r="J112" s="4" t="n">
        <v>464.6</v>
      </c>
      <c r="K112" s="4" t="n">
        <v>137.37</v>
      </c>
      <c r="L112" s="5" t="n">
        <f aca="false">IF(H112=0,0,I112/H112)</f>
        <v>0.333333333333333</v>
      </c>
      <c r="M112" s="6" t="n">
        <f aca="false">IF(I112=0,0,J112/I112)</f>
        <v>154.866666666667</v>
      </c>
    </row>
    <row r="113" customFormat="false" ht="15" hidden="false" customHeight="false" outlineLevel="0" collapsed="false">
      <c r="A113" s="2" t="n">
        <v>112</v>
      </c>
      <c r="B113" s="3" t="s">
        <v>51</v>
      </c>
      <c r="C113" s="3" t="s">
        <v>14</v>
      </c>
      <c r="D113" s="3" t="s">
        <v>15</v>
      </c>
      <c r="E113" s="3" t="s">
        <v>25</v>
      </c>
      <c r="F113" s="3" t="s">
        <v>20</v>
      </c>
      <c r="G113" s="3" t="s">
        <v>31</v>
      </c>
      <c r="H113" s="2" t="n">
        <v>3</v>
      </c>
      <c r="I113" s="2" t="n">
        <v>1</v>
      </c>
      <c r="J113" s="4" t="n">
        <v>171.04</v>
      </c>
      <c r="K113" s="4" t="n">
        <v>51.46</v>
      </c>
      <c r="L113" s="5" t="n">
        <f aca="false">IF(H113=0,0,I113/H113)</f>
        <v>0.333333333333333</v>
      </c>
      <c r="M113" s="6" t="n">
        <f aca="false">IF(I113=0,0,J113/I113)</f>
        <v>171.04</v>
      </c>
    </row>
    <row r="114" customFormat="false" ht="15" hidden="false" customHeight="false" outlineLevel="0" collapsed="false">
      <c r="A114" s="2" t="n">
        <v>113</v>
      </c>
      <c r="B114" s="3" t="s">
        <v>51</v>
      </c>
      <c r="C114" s="3" t="s">
        <v>14</v>
      </c>
      <c r="D114" s="3" t="s">
        <v>22</v>
      </c>
      <c r="E114" s="3" t="s">
        <v>28</v>
      </c>
      <c r="F114" s="3" t="s">
        <v>23</v>
      </c>
      <c r="G114" s="3" t="s">
        <v>30</v>
      </c>
      <c r="H114" s="2" t="n">
        <v>7</v>
      </c>
      <c r="I114" s="2" t="n">
        <v>3</v>
      </c>
      <c r="J114" s="4" t="n">
        <v>450.06</v>
      </c>
      <c r="K114" s="4" t="n">
        <v>197.5</v>
      </c>
      <c r="L114" s="5" t="n">
        <f aca="false">IF(H114=0,0,I114/H114)</f>
        <v>0.428571428571429</v>
      </c>
      <c r="M114" s="6" t="n">
        <f aca="false">IF(I114=0,0,J114/I114)</f>
        <v>150.02</v>
      </c>
    </row>
    <row r="115" customFormat="false" ht="15" hidden="false" customHeight="false" outlineLevel="0" collapsed="false">
      <c r="A115" s="2" t="n">
        <v>114</v>
      </c>
      <c r="B115" s="3" t="s">
        <v>51</v>
      </c>
      <c r="C115" s="3" t="s">
        <v>14</v>
      </c>
      <c r="D115" s="3" t="s">
        <v>19</v>
      </c>
      <c r="E115" s="3" t="s">
        <v>16</v>
      </c>
      <c r="F115" s="3" t="s">
        <v>23</v>
      </c>
      <c r="G115" s="3" t="s">
        <v>18</v>
      </c>
      <c r="H115" s="2" t="n">
        <v>5</v>
      </c>
      <c r="I115" s="2" t="n">
        <v>0</v>
      </c>
      <c r="J115" s="4" t="n">
        <v>0</v>
      </c>
      <c r="K115" s="4" t="n">
        <v>0</v>
      </c>
      <c r="L115" s="5" t="n">
        <f aca="false">IF(H115=0,0,I115/H115)</f>
        <v>0</v>
      </c>
      <c r="M115" s="6" t="n">
        <f aca="false">IF(I115=0,0,J115/I115)</f>
        <v>0</v>
      </c>
    </row>
    <row r="116" customFormat="false" ht="15" hidden="false" customHeight="false" outlineLevel="0" collapsed="false">
      <c r="A116" s="2" t="n">
        <v>115</v>
      </c>
      <c r="B116" s="3" t="s">
        <v>51</v>
      </c>
      <c r="C116" s="3" t="s">
        <v>14</v>
      </c>
      <c r="D116" s="3" t="s">
        <v>19</v>
      </c>
      <c r="E116" s="3" t="s">
        <v>16</v>
      </c>
      <c r="F116" s="3" t="s">
        <v>29</v>
      </c>
      <c r="G116" s="3" t="s">
        <v>21</v>
      </c>
      <c r="H116" s="2" t="n">
        <v>5</v>
      </c>
      <c r="I116" s="2" t="n">
        <v>1</v>
      </c>
      <c r="J116" s="4" t="n">
        <v>784.85</v>
      </c>
      <c r="K116" s="4" t="n">
        <v>114.66</v>
      </c>
      <c r="L116" s="5" t="n">
        <f aca="false">IF(H116=0,0,I116/H116)</f>
        <v>0.2</v>
      </c>
      <c r="M116" s="6" t="n">
        <f aca="false">IF(I116=0,0,J116/I116)</f>
        <v>784.85</v>
      </c>
    </row>
    <row r="117" customFormat="false" ht="15" hidden="false" customHeight="false" outlineLevel="0" collapsed="false">
      <c r="A117" s="2" t="n">
        <v>116</v>
      </c>
      <c r="B117" s="3" t="s">
        <v>51</v>
      </c>
      <c r="C117" s="3" t="s">
        <v>14</v>
      </c>
      <c r="D117" s="3" t="s">
        <v>19</v>
      </c>
      <c r="E117" s="3" t="s">
        <v>16</v>
      </c>
      <c r="F117" s="3" t="s">
        <v>29</v>
      </c>
      <c r="G117" s="3" t="s">
        <v>26</v>
      </c>
      <c r="H117" s="2" t="n">
        <v>7</v>
      </c>
      <c r="I117" s="2" t="n">
        <v>2</v>
      </c>
      <c r="J117" s="4" t="n">
        <v>1460.22</v>
      </c>
      <c r="K117" s="4" t="n">
        <v>206.57</v>
      </c>
      <c r="L117" s="5" t="n">
        <f aca="false">IF(H117=0,0,I117/H117)</f>
        <v>0.285714285714286</v>
      </c>
      <c r="M117" s="6" t="n">
        <f aca="false">IF(I117=0,0,J117/I117)</f>
        <v>730.11</v>
      </c>
    </row>
    <row r="118" customFormat="false" ht="15" hidden="false" customHeight="false" outlineLevel="0" collapsed="false">
      <c r="A118" s="2" t="n">
        <v>117</v>
      </c>
      <c r="B118" s="3" t="s">
        <v>51</v>
      </c>
      <c r="C118" s="3" t="s">
        <v>14</v>
      </c>
      <c r="D118" s="3" t="s">
        <v>22</v>
      </c>
      <c r="E118" s="3" t="s">
        <v>28</v>
      </c>
      <c r="F118" s="3" t="s">
        <v>20</v>
      </c>
      <c r="G118" s="3" t="s">
        <v>34</v>
      </c>
      <c r="H118" s="2" t="n">
        <v>3</v>
      </c>
      <c r="I118" s="2" t="n">
        <v>1</v>
      </c>
      <c r="J118" s="4" t="n">
        <v>125.98</v>
      </c>
      <c r="K118" s="4" t="n">
        <v>56.98</v>
      </c>
      <c r="L118" s="5" t="n">
        <f aca="false">IF(H118=0,0,I118/H118)</f>
        <v>0.333333333333333</v>
      </c>
      <c r="M118" s="6" t="n">
        <f aca="false">IF(I118=0,0,J118/I118)</f>
        <v>125.98</v>
      </c>
    </row>
    <row r="119" customFormat="false" ht="15" hidden="false" customHeight="false" outlineLevel="0" collapsed="false">
      <c r="A119" s="2" t="n">
        <v>118</v>
      </c>
      <c r="B119" s="3" t="s">
        <v>52</v>
      </c>
      <c r="C119" s="3" t="s">
        <v>14</v>
      </c>
      <c r="D119" s="3" t="s">
        <v>24</v>
      </c>
      <c r="E119" s="3" t="s">
        <v>16</v>
      </c>
      <c r="F119" s="3" t="s">
        <v>23</v>
      </c>
      <c r="G119" s="3" t="s">
        <v>26</v>
      </c>
      <c r="H119" s="2" t="n">
        <v>5</v>
      </c>
      <c r="I119" s="2" t="n">
        <v>2</v>
      </c>
      <c r="J119" s="4" t="n">
        <v>482.02</v>
      </c>
      <c r="K119" s="4" t="n">
        <v>115.85</v>
      </c>
      <c r="L119" s="5" t="n">
        <f aca="false">IF(H119=0,0,I119/H119)</f>
        <v>0.4</v>
      </c>
      <c r="M119" s="6" t="n">
        <f aca="false">IF(I119=0,0,J119/I119)</f>
        <v>241.01</v>
      </c>
    </row>
    <row r="120" customFormat="false" ht="15" hidden="false" customHeight="false" outlineLevel="0" collapsed="false">
      <c r="A120" s="2" t="n">
        <v>119</v>
      </c>
      <c r="B120" s="3" t="s">
        <v>52</v>
      </c>
      <c r="C120" s="3" t="s">
        <v>14</v>
      </c>
      <c r="D120" s="3" t="s">
        <v>19</v>
      </c>
      <c r="E120" s="3" t="s">
        <v>16</v>
      </c>
      <c r="F120" s="3" t="s">
        <v>29</v>
      </c>
      <c r="G120" s="3" t="s">
        <v>30</v>
      </c>
      <c r="H120" s="2" t="n">
        <v>7</v>
      </c>
      <c r="I120" s="2" t="n">
        <v>1</v>
      </c>
      <c r="J120" s="4" t="n">
        <v>681.52</v>
      </c>
      <c r="K120" s="4" t="n">
        <v>93.03</v>
      </c>
      <c r="L120" s="5" t="n">
        <f aca="false">IF(H120=0,0,I120/H120)</f>
        <v>0.142857142857143</v>
      </c>
      <c r="M120" s="6" t="n">
        <f aca="false">IF(I120=0,0,J120/I120)</f>
        <v>681.52</v>
      </c>
    </row>
    <row r="121" customFormat="false" ht="15" hidden="false" customHeight="false" outlineLevel="0" collapsed="false">
      <c r="A121" s="2" t="n">
        <v>120</v>
      </c>
      <c r="B121" s="3" t="s">
        <v>52</v>
      </c>
      <c r="C121" s="3" t="s">
        <v>14</v>
      </c>
      <c r="D121" s="3" t="s">
        <v>22</v>
      </c>
      <c r="E121" s="3" t="s">
        <v>25</v>
      </c>
      <c r="F121" s="3" t="s">
        <v>29</v>
      </c>
      <c r="G121" s="3" t="s">
        <v>18</v>
      </c>
      <c r="H121" s="2" t="n">
        <v>4</v>
      </c>
      <c r="I121" s="2" t="n">
        <v>0</v>
      </c>
      <c r="J121" s="4" t="n">
        <v>0</v>
      </c>
      <c r="K121" s="4" t="n">
        <v>0</v>
      </c>
      <c r="L121" s="5" t="n">
        <f aca="false">IF(H121=0,0,I121/H121)</f>
        <v>0</v>
      </c>
      <c r="M121" s="6" t="n">
        <f aca="false">IF(I121=0,0,J121/I121)</f>
        <v>0</v>
      </c>
    </row>
    <row r="122" customFormat="false" ht="15" hidden="false" customHeight="false" outlineLevel="0" collapsed="false">
      <c r="A122" s="2" t="n">
        <v>121</v>
      </c>
      <c r="B122" s="3" t="s">
        <v>52</v>
      </c>
      <c r="C122" s="3" t="s">
        <v>14</v>
      </c>
      <c r="D122" s="3" t="s">
        <v>22</v>
      </c>
      <c r="E122" s="3" t="s">
        <v>16</v>
      </c>
      <c r="F122" s="3" t="s">
        <v>20</v>
      </c>
      <c r="G122" s="3" t="s">
        <v>30</v>
      </c>
      <c r="H122" s="2" t="n">
        <v>8</v>
      </c>
      <c r="I122" s="2" t="n">
        <v>1</v>
      </c>
      <c r="J122" s="4" t="n">
        <v>102.16</v>
      </c>
      <c r="K122" s="4" t="n">
        <v>45.61</v>
      </c>
      <c r="L122" s="5" t="n">
        <f aca="false">IF(H122=0,0,I122/H122)</f>
        <v>0.125</v>
      </c>
      <c r="M122" s="6" t="n">
        <f aca="false">IF(I122=0,0,J122/I122)</f>
        <v>102.16</v>
      </c>
    </row>
    <row r="123" customFormat="false" ht="15" hidden="false" customHeight="false" outlineLevel="0" collapsed="false">
      <c r="A123" s="2" t="n">
        <v>122</v>
      </c>
      <c r="B123" s="3" t="s">
        <v>52</v>
      </c>
      <c r="C123" s="3" t="s">
        <v>14</v>
      </c>
      <c r="D123" s="3" t="s">
        <v>24</v>
      </c>
      <c r="E123" s="3" t="s">
        <v>16</v>
      </c>
      <c r="F123" s="3" t="s">
        <v>23</v>
      </c>
      <c r="G123" s="3" t="s">
        <v>30</v>
      </c>
      <c r="H123" s="2" t="n">
        <v>8</v>
      </c>
      <c r="I123" s="2" t="n">
        <v>6</v>
      </c>
      <c r="J123" s="4" t="n">
        <v>2165.32</v>
      </c>
      <c r="K123" s="4" t="n">
        <v>554.85</v>
      </c>
      <c r="L123" s="5" t="n">
        <f aca="false">IF(H123=0,0,I123/H123)</f>
        <v>0.75</v>
      </c>
      <c r="M123" s="6" t="n">
        <f aca="false">IF(I123=0,0,J123/I123)</f>
        <v>360.886666666667</v>
      </c>
    </row>
    <row r="124" customFormat="false" ht="15" hidden="false" customHeight="false" outlineLevel="0" collapsed="false">
      <c r="A124" s="2" t="n">
        <v>123</v>
      </c>
      <c r="B124" s="3" t="s">
        <v>52</v>
      </c>
      <c r="C124" s="3" t="s">
        <v>14</v>
      </c>
      <c r="D124" s="3" t="s">
        <v>19</v>
      </c>
      <c r="E124" s="3" t="s">
        <v>33</v>
      </c>
      <c r="F124" s="3" t="s">
        <v>23</v>
      </c>
      <c r="G124" s="3" t="s">
        <v>18</v>
      </c>
      <c r="H124" s="2" t="n">
        <v>8</v>
      </c>
      <c r="I124" s="2" t="n">
        <v>1</v>
      </c>
      <c r="J124" s="4" t="n">
        <v>1021.62</v>
      </c>
      <c r="K124" s="4" t="n">
        <v>142.09</v>
      </c>
      <c r="L124" s="5" t="n">
        <f aca="false">IF(H124=0,0,I124/H124)</f>
        <v>0.125</v>
      </c>
      <c r="M124" s="6" t="n">
        <f aca="false">IF(I124=0,0,J124/I124)</f>
        <v>1021.62</v>
      </c>
    </row>
    <row r="125" customFormat="false" ht="15" hidden="false" customHeight="false" outlineLevel="0" collapsed="false">
      <c r="A125" s="2" t="n">
        <v>124</v>
      </c>
      <c r="B125" s="3" t="s">
        <v>52</v>
      </c>
      <c r="C125" s="3" t="s">
        <v>14</v>
      </c>
      <c r="D125" s="3" t="s">
        <v>22</v>
      </c>
      <c r="E125" s="3" t="s">
        <v>25</v>
      </c>
      <c r="F125" s="3" t="s">
        <v>29</v>
      </c>
      <c r="G125" s="3" t="s">
        <v>18</v>
      </c>
      <c r="H125" s="2" t="n">
        <v>4</v>
      </c>
      <c r="I125" s="2" t="n">
        <v>2</v>
      </c>
      <c r="J125" s="4" t="n">
        <v>277.64</v>
      </c>
      <c r="K125" s="4" t="n">
        <v>110.85</v>
      </c>
      <c r="L125" s="5" t="n">
        <f aca="false">IF(H125=0,0,I125/H125)</f>
        <v>0.5</v>
      </c>
      <c r="M125" s="6" t="n">
        <f aca="false">IF(I125=0,0,J125/I125)</f>
        <v>138.82</v>
      </c>
    </row>
    <row r="126" customFormat="false" ht="15" hidden="false" customHeight="false" outlineLevel="0" collapsed="false">
      <c r="A126" s="2" t="n">
        <v>125</v>
      </c>
      <c r="B126" s="3" t="s">
        <v>52</v>
      </c>
      <c r="C126" s="3" t="s">
        <v>14</v>
      </c>
      <c r="D126" s="3" t="s">
        <v>24</v>
      </c>
      <c r="E126" s="3" t="s">
        <v>25</v>
      </c>
      <c r="F126" s="3" t="s">
        <v>20</v>
      </c>
      <c r="G126" s="3" t="s">
        <v>34</v>
      </c>
      <c r="H126" s="2" t="n">
        <v>7</v>
      </c>
      <c r="I126" s="2" t="n">
        <v>1</v>
      </c>
      <c r="J126" s="4" t="n">
        <v>341.78</v>
      </c>
      <c r="K126" s="4" t="n">
        <v>81.72</v>
      </c>
      <c r="L126" s="5" t="n">
        <f aca="false">IF(H126=0,0,I126/H126)</f>
        <v>0.142857142857143</v>
      </c>
      <c r="M126" s="6" t="n">
        <f aca="false">IF(I126=0,0,J126/I126)</f>
        <v>341.78</v>
      </c>
    </row>
    <row r="127" customFormat="false" ht="15" hidden="false" customHeight="false" outlineLevel="0" collapsed="false">
      <c r="A127" s="2" t="n">
        <v>126</v>
      </c>
      <c r="B127" s="3" t="s">
        <v>52</v>
      </c>
      <c r="C127" s="3" t="s">
        <v>14</v>
      </c>
      <c r="D127" s="3" t="s">
        <v>15</v>
      </c>
      <c r="E127" s="3" t="s">
        <v>16</v>
      </c>
      <c r="F127" s="3" t="s">
        <v>20</v>
      </c>
      <c r="G127" s="3" t="s">
        <v>18</v>
      </c>
      <c r="H127" s="2" t="n">
        <v>7</v>
      </c>
      <c r="I127" s="2" t="n">
        <v>2</v>
      </c>
      <c r="J127" s="4" t="n">
        <v>297.35</v>
      </c>
      <c r="K127" s="4" t="n">
        <v>94.9</v>
      </c>
      <c r="L127" s="5" t="n">
        <f aca="false">IF(H127=0,0,I127/H127)</f>
        <v>0.285714285714286</v>
      </c>
      <c r="M127" s="6" t="n">
        <f aca="false">IF(I127=0,0,J127/I127)</f>
        <v>148.675</v>
      </c>
    </row>
    <row r="128" customFormat="false" ht="15" hidden="false" customHeight="false" outlineLevel="0" collapsed="false">
      <c r="A128" s="2" t="n">
        <v>127</v>
      </c>
      <c r="B128" s="3" t="s">
        <v>53</v>
      </c>
      <c r="C128" s="3" t="s">
        <v>14</v>
      </c>
      <c r="D128" s="3" t="s">
        <v>19</v>
      </c>
      <c r="E128" s="3" t="s">
        <v>25</v>
      </c>
      <c r="F128" s="3" t="s">
        <v>23</v>
      </c>
      <c r="G128" s="3" t="s">
        <v>30</v>
      </c>
      <c r="H128" s="2" t="n">
        <v>5</v>
      </c>
      <c r="I128" s="2" t="n">
        <v>2</v>
      </c>
      <c r="J128" s="4" t="n">
        <v>2133.4</v>
      </c>
      <c r="K128" s="4" t="n">
        <v>288.16</v>
      </c>
      <c r="L128" s="5" t="n">
        <f aca="false">IF(H128=0,0,I128/H128)</f>
        <v>0.4</v>
      </c>
      <c r="M128" s="6" t="n">
        <f aca="false">IF(I128=0,0,J128/I128)</f>
        <v>1066.7</v>
      </c>
    </row>
    <row r="129" customFormat="false" ht="15" hidden="false" customHeight="false" outlineLevel="0" collapsed="false">
      <c r="A129" s="2" t="n">
        <v>128</v>
      </c>
      <c r="B129" s="3" t="s">
        <v>53</v>
      </c>
      <c r="C129" s="3" t="s">
        <v>14</v>
      </c>
      <c r="D129" s="3" t="s">
        <v>15</v>
      </c>
      <c r="E129" s="3" t="s">
        <v>16</v>
      </c>
      <c r="F129" s="3" t="s">
        <v>17</v>
      </c>
      <c r="G129" s="3" t="s">
        <v>21</v>
      </c>
      <c r="H129" s="2" t="n">
        <v>9</v>
      </c>
      <c r="I129" s="2" t="n">
        <v>0</v>
      </c>
      <c r="J129" s="4" t="n">
        <v>0</v>
      </c>
      <c r="K129" s="4" t="n">
        <v>0</v>
      </c>
      <c r="L129" s="5" t="n">
        <f aca="false">IF(H129=0,0,I129/H129)</f>
        <v>0</v>
      </c>
      <c r="M129" s="6" t="n">
        <f aca="false">IF(I129=0,0,J129/I129)</f>
        <v>0</v>
      </c>
    </row>
    <row r="130" customFormat="false" ht="15" hidden="false" customHeight="false" outlineLevel="0" collapsed="false">
      <c r="A130" s="2" t="n">
        <v>129</v>
      </c>
      <c r="B130" s="3" t="s">
        <v>54</v>
      </c>
      <c r="C130" s="3" t="s">
        <v>14</v>
      </c>
      <c r="D130" s="3" t="s">
        <v>15</v>
      </c>
      <c r="E130" s="3" t="s">
        <v>28</v>
      </c>
      <c r="F130" s="3" t="s">
        <v>23</v>
      </c>
      <c r="G130" s="3" t="s">
        <v>30</v>
      </c>
      <c r="H130" s="2" t="n">
        <v>4</v>
      </c>
      <c r="I130" s="2" t="n">
        <v>1</v>
      </c>
      <c r="J130" s="4" t="n">
        <v>246.52</v>
      </c>
      <c r="K130" s="4" t="n">
        <v>78.16</v>
      </c>
      <c r="L130" s="5" t="n">
        <f aca="false">IF(H130=0,0,I130/H130)</f>
        <v>0.25</v>
      </c>
      <c r="M130" s="6" t="n">
        <f aca="false">IF(I130=0,0,J130/I130)</f>
        <v>246.52</v>
      </c>
    </row>
    <row r="131" customFormat="false" ht="15" hidden="false" customHeight="false" outlineLevel="0" collapsed="false">
      <c r="A131" s="2" t="n">
        <v>130</v>
      </c>
      <c r="B131" s="3" t="s">
        <v>54</v>
      </c>
      <c r="C131" s="3" t="s">
        <v>14</v>
      </c>
      <c r="D131" s="3" t="s">
        <v>24</v>
      </c>
      <c r="E131" s="3" t="s">
        <v>16</v>
      </c>
      <c r="F131" s="3" t="s">
        <v>29</v>
      </c>
      <c r="G131" s="3" t="s">
        <v>26</v>
      </c>
      <c r="H131" s="2" t="n">
        <v>4</v>
      </c>
      <c r="I131" s="2" t="n">
        <v>2</v>
      </c>
      <c r="J131" s="4" t="n">
        <v>427.74</v>
      </c>
      <c r="K131" s="4" t="n">
        <v>110.26</v>
      </c>
      <c r="L131" s="5" t="n">
        <f aca="false">IF(H131=0,0,I131/H131)</f>
        <v>0.5</v>
      </c>
      <c r="M131" s="6" t="n">
        <f aca="false">IF(I131=0,0,J131/I131)</f>
        <v>213.87</v>
      </c>
    </row>
    <row r="132" customFormat="false" ht="15" hidden="false" customHeight="false" outlineLevel="0" collapsed="false">
      <c r="A132" s="2" t="n">
        <v>131</v>
      </c>
      <c r="B132" s="3" t="s">
        <v>54</v>
      </c>
      <c r="C132" s="3" t="s">
        <v>14</v>
      </c>
      <c r="D132" s="3" t="s">
        <v>19</v>
      </c>
      <c r="E132" s="3" t="s">
        <v>28</v>
      </c>
      <c r="F132" s="3" t="s">
        <v>23</v>
      </c>
      <c r="G132" s="3" t="s">
        <v>34</v>
      </c>
      <c r="H132" s="2" t="n">
        <v>7</v>
      </c>
      <c r="I132" s="2" t="n">
        <v>0</v>
      </c>
      <c r="J132" s="4" t="n">
        <v>0</v>
      </c>
      <c r="K132" s="4" t="n">
        <v>0</v>
      </c>
      <c r="L132" s="5" t="n">
        <f aca="false">IF(H132=0,0,I132/H132)</f>
        <v>0</v>
      </c>
      <c r="M132" s="6" t="n">
        <f aca="false">IF(I132=0,0,J132/I132)</f>
        <v>0</v>
      </c>
    </row>
    <row r="133" customFormat="false" ht="15" hidden="false" customHeight="false" outlineLevel="0" collapsed="false">
      <c r="A133" s="2" t="n">
        <v>132</v>
      </c>
      <c r="B133" s="3" t="s">
        <v>54</v>
      </c>
      <c r="C133" s="3" t="s">
        <v>14</v>
      </c>
      <c r="D133" s="3" t="s">
        <v>22</v>
      </c>
      <c r="E133" s="3" t="s">
        <v>16</v>
      </c>
      <c r="F133" s="3" t="s">
        <v>23</v>
      </c>
      <c r="G133" s="3" t="s">
        <v>34</v>
      </c>
      <c r="H133" s="2" t="n">
        <v>5</v>
      </c>
      <c r="I133" s="2" t="n">
        <v>0</v>
      </c>
      <c r="J133" s="4" t="n">
        <v>0</v>
      </c>
      <c r="K133" s="4" t="n">
        <v>0</v>
      </c>
      <c r="L133" s="5" t="n">
        <f aca="false">IF(H133=0,0,I133/H133)</f>
        <v>0</v>
      </c>
      <c r="M133" s="6" t="n">
        <f aca="false">IF(I133=0,0,J133/I133)</f>
        <v>0</v>
      </c>
    </row>
    <row r="134" customFormat="false" ht="15" hidden="false" customHeight="false" outlineLevel="0" collapsed="false">
      <c r="A134" s="2" t="n">
        <v>133</v>
      </c>
      <c r="B134" s="3" t="s">
        <v>54</v>
      </c>
      <c r="C134" s="3" t="s">
        <v>14</v>
      </c>
      <c r="D134" s="3" t="s">
        <v>22</v>
      </c>
      <c r="E134" s="3" t="s">
        <v>25</v>
      </c>
      <c r="F134" s="3" t="s">
        <v>23</v>
      </c>
      <c r="G134" s="3" t="s">
        <v>26</v>
      </c>
      <c r="H134" s="2" t="n">
        <v>8</v>
      </c>
      <c r="I134" s="2" t="n">
        <v>2</v>
      </c>
      <c r="J134" s="4" t="n">
        <v>208.84</v>
      </c>
      <c r="K134" s="4" t="n">
        <v>86.26</v>
      </c>
      <c r="L134" s="5" t="n">
        <f aca="false">IF(H134=0,0,I134/H134)</f>
        <v>0.25</v>
      </c>
      <c r="M134" s="6" t="n">
        <f aca="false">IF(I134=0,0,J134/I134)</f>
        <v>104.42</v>
      </c>
    </row>
    <row r="135" customFormat="false" ht="15" hidden="false" customHeight="false" outlineLevel="0" collapsed="false">
      <c r="A135" s="2" t="n">
        <v>134</v>
      </c>
      <c r="B135" s="3" t="s">
        <v>54</v>
      </c>
      <c r="C135" s="3" t="s">
        <v>14</v>
      </c>
      <c r="D135" s="3" t="s">
        <v>19</v>
      </c>
      <c r="E135" s="3" t="s">
        <v>16</v>
      </c>
      <c r="F135" s="3" t="s">
        <v>29</v>
      </c>
      <c r="G135" s="3" t="s">
        <v>34</v>
      </c>
      <c r="H135" s="2" t="n">
        <v>7</v>
      </c>
      <c r="I135" s="2" t="n">
        <v>1</v>
      </c>
      <c r="J135" s="4" t="n">
        <v>821.96</v>
      </c>
      <c r="K135" s="4" t="n">
        <v>113.64</v>
      </c>
      <c r="L135" s="5" t="n">
        <f aca="false">IF(H135=0,0,I135/H135)</f>
        <v>0.142857142857143</v>
      </c>
      <c r="M135" s="6" t="n">
        <f aca="false">IF(I135=0,0,J135/I135)</f>
        <v>821.96</v>
      </c>
    </row>
    <row r="136" customFormat="false" ht="15" hidden="false" customHeight="false" outlineLevel="0" collapsed="false">
      <c r="A136" s="2" t="n">
        <v>135</v>
      </c>
      <c r="B136" s="3" t="s">
        <v>54</v>
      </c>
      <c r="C136" s="3" t="s">
        <v>14</v>
      </c>
      <c r="D136" s="3" t="s">
        <v>22</v>
      </c>
      <c r="E136" s="3" t="s">
        <v>28</v>
      </c>
      <c r="F136" s="3" t="s">
        <v>29</v>
      </c>
      <c r="G136" s="3" t="s">
        <v>18</v>
      </c>
      <c r="H136" s="2" t="n">
        <v>5</v>
      </c>
      <c r="I136" s="2" t="n">
        <v>2</v>
      </c>
      <c r="J136" s="4" t="n">
        <v>289.51</v>
      </c>
      <c r="K136" s="4" t="n">
        <v>112.66</v>
      </c>
      <c r="L136" s="5" t="n">
        <f aca="false">IF(H136=0,0,I136/H136)</f>
        <v>0.4</v>
      </c>
      <c r="M136" s="6" t="n">
        <f aca="false">IF(I136=0,0,J136/I136)</f>
        <v>144.755</v>
      </c>
    </row>
    <row r="137" customFormat="false" ht="15" hidden="false" customHeight="false" outlineLevel="0" collapsed="false">
      <c r="A137" s="2" t="n">
        <v>136</v>
      </c>
      <c r="B137" s="3" t="s">
        <v>55</v>
      </c>
      <c r="C137" s="3" t="s">
        <v>14</v>
      </c>
      <c r="D137" s="3" t="s">
        <v>24</v>
      </c>
      <c r="E137" s="3" t="s">
        <v>25</v>
      </c>
      <c r="F137" s="3" t="s">
        <v>17</v>
      </c>
      <c r="G137" s="3" t="s">
        <v>31</v>
      </c>
      <c r="H137" s="2" t="n">
        <v>8</v>
      </c>
      <c r="I137" s="2" t="n">
        <v>0</v>
      </c>
      <c r="J137" s="4" t="n">
        <v>0</v>
      </c>
      <c r="K137" s="4" t="n">
        <v>0</v>
      </c>
      <c r="L137" s="5" t="n">
        <f aca="false">IF(H137=0,0,I137/H137)</f>
        <v>0</v>
      </c>
      <c r="M137" s="6" t="n">
        <f aca="false">IF(I137=0,0,J137/I137)</f>
        <v>0</v>
      </c>
    </row>
    <row r="138" customFormat="false" ht="15" hidden="false" customHeight="false" outlineLevel="0" collapsed="false">
      <c r="A138" s="2" t="n">
        <v>137</v>
      </c>
      <c r="B138" s="3" t="s">
        <v>55</v>
      </c>
      <c r="C138" s="3" t="s">
        <v>14</v>
      </c>
      <c r="D138" s="3" t="s">
        <v>22</v>
      </c>
      <c r="E138" s="3" t="s">
        <v>25</v>
      </c>
      <c r="F138" s="3" t="s">
        <v>20</v>
      </c>
      <c r="G138" s="3" t="s">
        <v>21</v>
      </c>
      <c r="H138" s="2" t="n">
        <v>7</v>
      </c>
      <c r="I138" s="2" t="n">
        <v>1</v>
      </c>
      <c r="J138" s="4" t="n">
        <v>125.81</v>
      </c>
      <c r="K138" s="4" t="n">
        <v>55.9</v>
      </c>
      <c r="L138" s="5" t="n">
        <f aca="false">IF(H138=0,0,I138/H138)</f>
        <v>0.142857142857143</v>
      </c>
      <c r="M138" s="6" t="n">
        <f aca="false">IF(I138=0,0,J138/I138)</f>
        <v>125.81</v>
      </c>
    </row>
    <row r="139" customFormat="false" ht="15" hidden="false" customHeight="false" outlineLevel="0" collapsed="false">
      <c r="A139" s="2" t="n">
        <v>138</v>
      </c>
      <c r="B139" s="3" t="s">
        <v>55</v>
      </c>
      <c r="C139" s="3" t="s">
        <v>14</v>
      </c>
      <c r="D139" s="3" t="s">
        <v>24</v>
      </c>
      <c r="E139" s="3" t="s">
        <v>16</v>
      </c>
      <c r="F139" s="3" t="s">
        <v>23</v>
      </c>
      <c r="G139" s="3" t="s">
        <v>26</v>
      </c>
      <c r="H139" s="2" t="n">
        <v>9</v>
      </c>
      <c r="I139" s="2" t="n">
        <v>2</v>
      </c>
      <c r="J139" s="4" t="n">
        <v>463.92</v>
      </c>
      <c r="K139" s="4" t="n">
        <v>123.22</v>
      </c>
      <c r="L139" s="5" t="n">
        <f aca="false">IF(H139=0,0,I139/H139)</f>
        <v>0.222222222222222</v>
      </c>
      <c r="M139" s="6" t="n">
        <f aca="false">IF(I139=0,0,J139/I139)</f>
        <v>231.96</v>
      </c>
    </row>
    <row r="140" customFormat="false" ht="15" hidden="false" customHeight="false" outlineLevel="0" collapsed="false">
      <c r="A140" s="2" t="n">
        <v>139</v>
      </c>
      <c r="B140" s="3" t="s">
        <v>55</v>
      </c>
      <c r="C140" s="3" t="s">
        <v>14</v>
      </c>
      <c r="D140" s="3" t="s">
        <v>22</v>
      </c>
      <c r="E140" s="3" t="s">
        <v>16</v>
      </c>
      <c r="F140" s="3" t="s">
        <v>23</v>
      </c>
      <c r="G140" s="3" t="s">
        <v>18</v>
      </c>
      <c r="H140" s="2" t="n">
        <v>4</v>
      </c>
      <c r="I140" s="2" t="n">
        <v>2</v>
      </c>
      <c r="J140" s="4" t="n">
        <v>250.1</v>
      </c>
      <c r="K140" s="4" t="n">
        <v>110.79</v>
      </c>
      <c r="L140" s="5" t="n">
        <f aca="false">IF(H140=0,0,I140/H140)</f>
        <v>0.5</v>
      </c>
      <c r="M140" s="6" t="n">
        <f aca="false">IF(I140=0,0,J140/I140)</f>
        <v>125.05</v>
      </c>
    </row>
    <row r="141" customFormat="false" ht="15" hidden="false" customHeight="false" outlineLevel="0" collapsed="false">
      <c r="A141" s="2" t="n">
        <v>140</v>
      </c>
      <c r="B141" s="3" t="s">
        <v>55</v>
      </c>
      <c r="C141" s="3" t="s">
        <v>14</v>
      </c>
      <c r="D141" s="3" t="s">
        <v>24</v>
      </c>
      <c r="E141" s="3" t="s">
        <v>25</v>
      </c>
      <c r="F141" s="3" t="s">
        <v>23</v>
      </c>
      <c r="G141" s="3" t="s">
        <v>34</v>
      </c>
      <c r="H141" s="2" t="n">
        <v>5</v>
      </c>
      <c r="I141" s="2" t="n">
        <v>0</v>
      </c>
      <c r="J141" s="4" t="n">
        <v>0</v>
      </c>
      <c r="K141" s="4" t="n">
        <v>0</v>
      </c>
      <c r="L141" s="5" t="n">
        <f aca="false">IF(H141=0,0,I141/H141)</f>
        <v>0</v>
      </c>
      <c r="M141" s="6" t="n">
        <f aca="false">IF(I141=0,0,J141/I141)</f>
        <v>0</v>
      </c>
    </row>
    <row r="142" customFormat="false" ht="15" hidden="false" customHeight="false" outlineLevel="0" collapsed="false">
      <c r="A142" s="2" t="n">
        <v>141</v>
      </c>
      <c r="B142" s="3" t="s">
        <v>55</v>
      </c>
      <c r="C142" s="3" t="s">
        <v>14</v>
      </c>
      <c r="D142" s="3" t="s">
        <v>19</v>
      </c>
      <c r="E142" s="3" t="s">
        <v>33</v>
      </c>
      <c r="F142" s="3" t="s">
        <v>23</v>
      </c>
      <c r="G142" s="3" t="s">
        <v>30</v>
      </c>
      <c r="H142" s="2" t="n">
        <v>8</v>
      </c>
      <c r="I142" s="2" t="n">
        <v>0</v>
      </c>
      <c r="J142" s="4" t="n">
        <v>0</v>
      </c>
      <c r="K142" s="4" t="n">
        <v>0</v>
      </c>
      <c r="L142" s="5" t="n">
        <f aca="false">IF(H142=0,0,I142/H142)</f>
        <v>0</v>
      </c>
      <c r="M142" s="6" t="n">
        <f aca="false">IF(I142=0,0,J142/I142)</f>
        <v>0</v>
      </c>
    </row>
    <row r="143" customFormat="false" ht="15" hidden="false" customHeight="false" outlineLevel="0" collapsed="false">
      <c r="A143" s="2" t="n">
        <v>142</v>
      </c>
      <c r="B143" s="3" t="s">
        <v>55</v>
      </c>
      <c r="C143" s="3" t="s">
        <v>14</v>
      </c>
      <c r="D143" s="3" t="s">
        <v>15</v>
      </c>
      <c r="E143" s="3" t="s">
        <v>28</v>
      </c>
      <c r="F143" s="3" t="s">
        <v>23</v>
      </c>
      <c r="G143" s="3" t="s">
        <v>31</v>
      </c>
      <c r="H143" s="2" t="n">
        <v>6</v>
      </c>
      <c r="I143" s="2" t="n">
        <v>1</v>
      </c>
      <c r="J143" s="4" t="n">
        <v>170.74</v>
      </c>
      <c r="K143" s="4" t="n">
        <v>55.04</v>
      </c>
      <c r="L143" s="5" t="n">
        <f aca="false">IF(H143=0,0,I143/H143)</f>
        <v>0.166666666666667</v>
      </c>
      <c r="M143" s="6" t="n">
        <f aca="false">IF(I143=0,0,J143/I143)</f>
        <v>170.74</v>
      </c>
    </row>
    <row r="144" customFormat="false" ht="15" hidden="false" customHeight="false" outlineLevel="0" collapsed="false">
      <c r="A144" s="2" t="n">
        <v>143</v>
      </c>
      <c r="B144" s="3" t="s">
        <v>55</v>
      </c>
      <c r="C144" s="3" t="s">
        <v>14</v>
      </c>
      <c r="D144" s="3" t="s">
        <v>24</v>
      </c>
      <c r="E144" s="3" t="s">
        <v>16</v>
      </c>
      <c r="F144" s="3" t="s">
        <v>20</v>
      </c>
      <c r="G144" s="3" t="s">
        <v>31</v>
      </c>
      <c r="H144" s="2" t="n">
        <v>10</v>
      </c>
      <c r="I144" s="2" t="n">
        <v>2</v>
      </c>
      <c r="J144" s="4" t="n">
        <v>587.25</v>
      </c>
      <c r="K144" s="4" t="n">
        <v>140.42</v>
      </c>
      <c r="L144" s="5" t="n">
        <f aca="false">IF(H144=0,0,I144/H144)</f>
        <v>0.2</v>
      </c>
      <c r="M144" s="6" t="n">
        <f aca="false">IF(I144=0,0,J144/I144)</f>
        <v>293.625</v>
      </c>
    </row>
    <row r="145" customFormat="false" ht="15" hidden="false" customHeight="false" outlineLevel="0" collapsed="false">
      <c r="A145" s="2" t="n">
        <v>144</v>
      </c>
      <c r="B145" s="3" t="s">
        <v>55</v>
      </c>
      <c r="C145" s="3" t="s">
        <v>14</v>
      </c>
      <c r="D145" s="3" t="s">
        <v>27</v>
      </c>
      <c r="E145" s="3" t="s">
        <v>28</v>
      </c>
      <c r="F145" s="3" t="s">
        <v>29</v>
      </c>
      <c r="G145" s="3" t="s">
        <v>31</v>
      </c>
      <c r="H145" s="2" t="n">
        <v>3</v>
      </c>
      <c r="I145" s="2" t="n">
        <v>0</v>
      </c>
      <c r="J145" s="4" t="n">
        <v>0</v>
      </c>
      <c r="K145" s="4" t="n">
        <v>0</v>
      </c>
      <c r="L145" s="5" t="n">
        <f aca="false">IF(H145=0,0,I145/H145)</f>
        <v>0</v>
      </c>
      <c r="M145" s="6" t="n">
        <f aca="false">IF(I145=0,0,J145/I145)</f>
        <v>0</v>
      </c>
    </row>
    <row r="146" customFormat="false" ht="15" hidden="false" customHeight="false" outlineLevel="0" collapsed="false">
      <c r="A146" s="2" t="n">
        <v>145</v>
      </c>
      <c r="B146" s="3" t="s">
        <v>55</v>
      </c>
      <c r="C146" s="3" t="s">
        <v>14</v>
      </c>
      <c r="D146" s="3" t="s">
        <v>27</v>
      </c>
      <c r="E146" s="3" t="s">
        <v>28</v>
      </c>
      <c r="F146" s="3" t="s">
        <v>23</v>
      </c>
      <c r="G146" s="3" t="s">
        <v>18</v>
      </c>
      <c r="H146" s="2" t="n">
        <v>8</v>
      </c>
      <c r="I146" s="2" t="n">
        <v>1</v>
      </c>
      <c r="J146" s="4" t="n">
        <v>1777.8</v>
      </c>
      <c r="K146" s="4" t="n">
        <v>344.62</v>
      </c>
      <c r="L146" s="5" t="n">
        <f aca="false">IF(H146=0,0,I146/H146)</f>
        <v>0.125</v>
      </c>
      <c r="M146" s="6" t="n">
        <f aca="false">IF(I146=0,0,J146/I146)</f>
        <v>1777.8</v>
      </c>
    </row>
    <row r="147" customFormat="false" ht="15" hidden="false" customHeight="false" outlineLevel="0" collapsed="false">
      <c r="A147" s="2" t="n">
        <v>146</v>
      </c>
      <c r="B147" s="3" t="s">
        <v>55</v>
      </c>
      <c r="C147" s="3" t="s">
        <v>14</v>
      </c>
      <c r="D147" s="3" t="s">
        <v>22</v>
      </c>
      <c r="E147" s="3" t="s">
        <v>33</v>
      </c>
      <c r="F147" s="3" t="s">
        <v>29</v>
      </c>
      <c r="G147" s="3" t="s">
        <v>18</v>
      </c>
      <c r="H147" s="2" t="n">
        <v>3</v>
      </c>
      <c r="I147" s="2" t="n">
        <v>1</v>
      </c>
      <c r="J147" s="4" t="n">
        <v>109.7</v>
      </c>
      <c r="K147" s="4" t="n">
        <v>44.16</v>
      </c>
      <c r="L147" s="5" t="n">
        <f aca="false">IF(H147=0,0,I147/H147)</f>
        <v>0.333333333333333</v>
      </c>
      <c r="M147" s="6" t="n">
        <f aca="false">IF(I147=0,0,J147/I147)</f>
        <v>109.7</v>
      </c>
    </row>
    <row r="148" customFormat="false" ht="15" hidden="false" customHeight="false" outlineLevel="0" collapsed="false">
      <c r="A148" s="2" t="n">
        <v>147</v>
      </c>
      <c r="B148" s="3" t="s">
        <v>55</v>
      </c>
      <c r="C148" s="3" t="s">
        <v>14</v>
      </c>
      <c r="D148" s="3" t="s">
        <v>22</v>
      </c>
      <c r="E148" s="3" t="s">
        <v>16</v>
      </c>
      <c r="F148" s="3" t="s">
        <v>23</v>
      </c>
      <c r="G148" s="3" t="s">
        <v>30</v>
      </c>
      <c r="H148" s="2" t="n">
        <v>9</v>
      </c>
      <c r="I148" s="2" t="n">
        <v>3</v>
      </c>
      <c r="J148" s="4" t="n">
        <v>374.66</v>
      </c>
      <c r="K148" s="4" t="n">
        <v>164.74</v>
      </c>
      <c r="L148" s="5" t="n">
        <f aca="false">IF(H148=0,0,I148/H148)</f>
        <v>0.333333333333333</v>
      </c>
      <c r="M148" s="6" t="n">
        <f aca="false">IF(I148=0,0,J148/I148)</f>
        <v>124.886666666667</v>
      </c>
    </row>
    <row r="149" customFormat="false" ht="15" hidden="false" customHeight="false" outlineLevel="0" collapsed="false">
      <c r="A149" s="2" t="n">
        <v>148</v>
      </c>
      <c r="B149" s="3" t="s">
        <v>56</v>
      </c>
      <c r="C149" s="3" t="s">
        <v>14</v>
      </c>
      <c r="D149" s="3" t="s">
        <v>19</v>
      </c>
      <c r="E149" s="3" t="s">
        <v>16</v>
      </c>
      <c r="F149" s="3" t="s">
        <v>23</v>
      </c>
      <c r="G149" s="3" t="s">
        <v>31</v>
      </c>
      <c r="H149" s="2" t="n">
        <v>9</v>
      </c>
      <c r="I149" s="2" t="n">
        <v>1</v>
      </c>
      <c r="J149" s="4" t="n">
        <v>827.82</v>
      </c>
      <c r="K149" s="4" t="n">
        <v>107.85</v>
      </c>
      <c r="L149" s="5" t="n">
        <f aca="false">IF(H149=0,0,I149/H149)</f>
        <v>0.111111111111111</v>
      </c>
      <c r="M149" s="6" t="n">
        <f aca="false">IF(I149=0,0,J149/I149)</f>
        <v>827.82</v>
      </c>
    </row>
    <row r="150" customFormat="false" ht="15" hidden="false" customHeight="false" outlineLevel="0" collapsed="false">
      <c r="A150" s="2" t="n">
        <v>149</v>
      </c>
      <c r="B150" s="3" t="s">
        <v>56</v>
      </c>
      <c r="C150" s="3" t="s">
        <v>14</v>
      </c>
      <c r="D150" s="3" t="s">
        <v>22</v>
      </c>
      <c r="E150" s="3" t="s">
        <v>16</v>
      </c>
      <c r="F150" s="3" t="s">
        <v>29</v>
      </c>
      <c r="G150" s="3" t="s">
        <v>31</v>
      </c>
      <c r="H150" s="2" t="n">
        <v>1</v>
      </c>
      <c r="I150" s="2" t="n">
        <v>1</v>
      </c>
      <c r="J150" s="4" t="n">
        <v>135</v>
      </c>
      <c r="K150" s="4" t="n">
        <v>53.19</v>
      </c>
      <c r="L150" s="5" t="n">
        <f aca="false">IF(H150=0,0,I150/H150)</f>
        <v>1</v>
      </c>
      <c r="M150" s="6" t="n">
        <f aca="false">IF(I150=0,0,J150/I150)</f>
        <v>135</v>
      </c>
    </row>
    <row r="151" customFormat="false" ht="15" hidden="false" customHeight="false" outlineLevel="0" collapsed="false">
      <c r="A151" s="2" t="n">
        <v>150</v>
      </c>
      <c r="B151" s="3" t="s">
        <v>56</v>
      </c>
      <c r="C151" s="3" t="s">
        <v>14</v>
      </c>
      <c r="D151" s="3" t="s">
        <v>15</v>
      </c>
      <c r="E151" s="3" t="s">
        <v>16</v>
      </c>
      <c r="F151" s="3" t="s">
        <v>23</v>
      </c>
      <c r="G151" s="3" t="s">
        <v>21</v>
      </c>
      <c r="H151" s="2" t="n">
        <v>8</v>
      </c>
      <c r="I151" s="2" t="n">
        <v>1</v>
      </c>
      <c r="J151" s="4" t="n">
        <v>166.12</v>
      </c>
      <c r="K151" s="4" t="n">
        <v>50.96</v>
      </c>
      <c r="L151" s="5" t="n">
        <f aca="false">IF(H151=0,0,I151/H151)</f>
        <v>0.125</v>
      </c>
      <c r="M151" s="6" t="n">
        <f aca="false">IF(I151=0,0,J151/I151)</f>
        <v>166.12</v>
      </c>
    </row>
    <row r="152" customFormat="false" ht="15" hidden="false" customHeight="false" outlineLevel="0" collapsed="false">
      <c r="A152" s="2" t="n">
        <v>151</v>
      </c>
      <c r="B152" s="3" t="s">
        <v>57</v>
      </c>
      <c r="C152" s="3" t="s">
        <v>14</v>
      </c>
      <c r="D152" s="3" t="s">
        <v>27</v>
      </c>
      <c r="E152" s="3" t="s">
        <v>25</v>
      </c>
      <c r="F152" s="3" t="s">
        <v>23</v>
      </c>
      <c r="G152" s="3" t="s">
        <v>21</v>
      </c>
      <c r="H152" s="2" t="n">
        <v>8</v>
      </c>
      <c r="I152" s="2" t="n">
        <v>2</v>
      </c>
      <c r="J152" s="4" t="n">
        <v>3324.44</v>
      </c>
      <c r="K152" s="4" t="n">
        <v>588.96</v>
      </c>
      <c r="L152" s="5" t="n">
        <f aca="false">IF(H152=0,0,I152/H152)</f>
        <v>0.25</v>
      </c>
      <c r="M152" s="6" t="n">
        <f aca="false">IF(I152=0,0,J152/I152)</f>
        <v>1662.22</v>
      </c>
    </row>
    <row r="153" customFormat="false" ht="15" hidden="false" customHeight="false" outlineLevel="0" collapsed="false">
      <c r="A153" s="2" t="n">
        <v>152</v>
      </c>
      <c r="B153" s="3" t="s">
        <v>57</v>
      </c>
      <c r="C153" s="3" t="s">
        <v>14</v>
      </c>
      <c r="D153" s="3" t="s">
        <v>19</v>
      </c>
      <c r="E153" s="3" t="s">
        <v>28</v>
      </c>
      <c r="F153" s="3" t="s">
        <v>29</v>
      </c>
      <c r="G153" s="3" t="s">
        <v>26</v>
      </c>
      <c r="H153" s="2" t="n">
        <v>8</v>
      </c>
      <c r="I153" s="2" t="n">
        <v>1</v>
      </c>
      <c r="J153" s="4" t="n">
        <v>1077.16</v>
      </c>
      <c r="K153" s="4" t="n">
        <v>140.73</v>
      </c>
      <c r="L153" s="5" t="n">
        <f aca="false">IF(H153=0,0,I153/H153)</f>
        <v>0.125</v>
      </c>
      <c r="M153" s="6" t="n">
        <f aca="false">IF(I153=0,0,J153/I153)</f>
        <v>1077.16</v>
      </c>
    </row>
    <row r="154" customFormat="false" ht="15" hidden="false" customHeight="false" outlineLevel="0" collapsed="false">
      <c r="A154" s="2" t="n">
        <v>153</v>
      </c>
      <c r="B154" s="3" t="s">
        <v>57</v>
      </c>
      <c r="C154" s="3" t="s">
        <v>14</v>
      </c>
      <c r="D154" s="3" t="s">
        <v>27</v>
      </c>
      <c r="E154" s="3" t="s">
        <v>33</v>
      </c>
      <c r="F154" s="3" t="s">
        <v>23</v>
      </c>
      <c r="G154" s="3" t="s">
        <v>34</v>
      </c>
      <c r="H154" s="2" t="n">
        <v>10</v>
      </c>
      <c r="I154" s="2" t="n">
        <v>2</v>
      </c>
      <c r="J154" s="4" t="n">
        <v>3297.65</v>
      </c>
      <c r="K154" s="4" t="n">
        <v>546.51</v>
      </c>
      <c r="L154" s="5" t="n">
        <f aca="false">IF(H154=0,0,I154/H154)</f>
        <v>0.2</v>
      </c>
      <c r="M154" s="6" t="n">
        <f aca="false">IF(I154=0,0,J154/I154)</f>
        <v>1648.825</v>
      </c>
    </row>
    <row r="155" customFormat="false" ht="15" hidden="false" customHeight="false" outlineLevel="0" collapsed="false">
      <c r="A155" s="2" t="n">
        <v>154</v>
      </c>
      <c r="B155" s="3" t="s">
        <v>57</v>
      </c>
      <c r="C155" s="3" t="s">
        <v>14</v>
      </c>
      <c r="D155" s="3" t="s">
        <v>19</v>
      </c>
      <c r="E155" s="3" t="s">
        <v>33</v>
      </c>
      <c r="F155" s="3" t="s">
        <v>20</v>
      </c>
      <c r="G155" s="3" t="s">
        <v>34</v>
      </c>
      <c r="H155" s="2" t="n">
        <v>7</v>
      </c>
      <c r="I155" s="2" t="n">
        <v>1</v>
      </c>
      <c r="J155" s="4" t="n">
        <v>817.54</v>
      </c>
      <c r="K155" s="4" t="n">
        <v>121.15</v>
      </c>
      <c r="L155" s="5" t="n">
        <f aca="false">IF(H155=0,0,I155/H155)</f>
        <v>0.142857142857143</v>
      </c>
      <c r="M155" s="6" t="n">
        <f aca="false">IF(I155=0,0,J155/I155)</f>
        <v>817.54</v>
      </c>
    </row>
    <row r="156" customFormat="false" ht="15" hidden="false" customHeight="false" outlineLevel="0" collapsed="false">
      <c r="A156" s="2" t="n">
        <v>155</v>
      </c>
      <c r="B156" s="3" t="s">
        <v>58</v>
      </c>
      <c r="C156" s="3" t="s">
        <v>14</v>
      </c>
      <c r="D156" s="3" t="s">
        <v>15</v>
      </c>
      <c r="E156" s="3" t="s">
        <v>16</v>
      </c>
      <c r="F156" s="3" t="s">
        <v>20</v>
      </c>
      <c r="G156" s="3" t="s">
        <v>18</v>
      </c>
      <c r="H156" s="2" t="n">
        <v>8</v>
      </c>
      <c r="I156" s="2" t="n">
        <v>2</v>
      </c>
      <c r="J156" s="4" t="n">
        <v>439.37</v>
      </c>
      <c r="K156" s="4" t="n">
        <v>127.92</v>
      </c>
      <c r="L156" s="5" t="n">
        <f aca="false">IF(H156=0,0,I156/H156)</f>
        <v>0.25</v>
      </c>
      <c r="M156" s="6" t="n">
        <f aca="false">IF(I156=0,0,J156/I156)</f>
        <v>219.685</v>
      </c>
    </row>
    <row r="157" customFormat="false" ht="15" hidden="false" customHeight="false" outlineLevel="0" collapsed="false">
      <c r="A157" s="2" t="n">
        <v>156</v>
      </c>
      <c r="B157" s="3" t="s">
        <v>58</v>
      </c>
      <c r="C157" s="3" t="s">
        <v>14</v>
      </c>
      <c r="D157" s="3" t="s">
        <v>24</v>
      </c>
      <c r="E157" s="3" t="s">
        <v>25</v>
      </c>
      <c r="F157" s="3" t="s">
        <v>29</v>
      </c>
      <c r="G157" s="3" t="s">
        <v>30</v>
      </c>
      <c r="H157" s="2" t="n">
        <v>5</v>
      </c>
      <c r="I157" s="2" t="n">
        <v>0</v>
      </c>
      <c r="J157" s="4" t="n">
        <v>0</v>
      </c>
      <c r="K157" s="4" t="n">
        <v>0</v>
      </c>
      <c r="L157" s="5" t="n">
        <f aca="false">IF(H157=0,0,I157/H157)</f>
        <v>0</v>
      </c>
      <c r="M157" s="6" t="n">
        <f aca="false">IF(I157=0,0,J157/I157)</f>
        <v>0</v>
      </c>
    </row>
    <row r="158" customFormat="false" ht="15" hidden="false" customHeight="false" outlineLevel="0" collapsed="false">
      <c r="A158" s="2" t="n">
        <v>157</v>
      </c>
      <c r="B158" s="3" t="s">
        <v>58</v>
      </c>
      <c r="C158" s="3" t="s">
        <v>14</v>
      </c>
      <c r="D158" s="3" t="s">
        <v>27</v>
      </c>
      <c r="E158" s="3" t="s">
        <v>33</v>
      </c>
      <c r="F158" s="3" t="s">
        <v>29</v>
      </c>
      <c r="G158" s="3" t="s">
        <v>30</v>
      </c>
      <c r="H158" s="2" t="n">
        <v>4</v>
      </c>
      <c r="I158" s="2" t="n">
        <v>0</v>
      </c>
      <c r="J158" s="4" t="n">
        <v>0</v>
      </c>
      <c r="K158" s="4" t="n">
        <v>0</v>
      </c>
      <c r="L158" s="5" t="n">
        <f aca="false">IF(H158=0,0,I158/H158)</f>
        <v>0</v>
      </c>
      <c r="M158" s="6" t="n">
        <f aca="false">IF(I158=0,0,J158/I158)</f>
        <v>0</v>
      </c>
    </row>
    <row r="159" customFormat="false" ht="15" hidden="false" customHeight="false" outlineLevel="0" collapsed="false">
      <c r="A159" s="2" t="n">
        <v>158</v>
      </c>
      <c r="B159" s="3" t="s">
        <v>58</v>
      </c>
      <c r="C159" s="3" t="s">
        <v>14</v>
      </c>
      <c r="D159" s="3" t="s">
        <v>24</v>
      </c>
      <c r="E159" s="3" t="s">
        <v>16</v>
      </c>
      <c r="F159" s="3" t="s">
        <v>29</v>
      </c>
      <c r="G159" s="3" t="s">
        <v>34</v>
      </c>
      <c r="H159" s="2" t="n">
        <v>5</v>
      </c>
      <c r="I159" s="2" t="n">
        <v>0</v>
      </c>
      <c r="J159" s="4" t="n">
        <v>0</v>
      </c>
      <c r="K159" s="4" t="n">
        <v>0</v>
      </c>
      <c r="L159" s="5" t="n">
        <f aca="false">IF(H159=0,0,I159/H159)</f>
        <v>0</v>
      </c>
      <c r="M159" s="6" t="n">
        <f aca="false">IF(I159=0,0,J159/I159)</f>
        <v>0</v>
      </c>
    </row>
    <row r="160" customFormat="false" ht="15" hidden="false" customHeight="false" outlineLevel="0" collapsed="false">
      <c r="A160" s="2" t="n">
        <v>159</v>
      </c>
      <c r="B160" s="3" t="s">
        <v>59</v>
      </c>
      <c r="C160" s="3" t="s">
        <v>14</v>
      </c>
      <c r="D160" s="3" t="s">
        <v>22</v>
      </c>
      <c r="E160" s="3" t="s">
        <v>25</v>
      </c>
      <c r="F160" s="3" t="s">
        <v>17</v>
      </c>
      <c r="G160" s="3" t="s">
        <v>26</v>
      </c>
      <c r="H160" s="2" t="n">
        <v>7</v>
      </c>
      <c r="I160" s="2" t="n">
        <v>1</v>
      </c>
      <c r="J160" s="4" t="n">
        <v>121.95</v>
      </c>
      <c r="K160" s="4" t="n">
        <v>53.25</v>
      </c>
      <c r="L160" s="5" t="n">
        <f aca="false">IF(H160=0,0,I160/H160)</f>
        <v>0.142857142857143</v>
      </c>
      <c r="M160" s="6" t="n">
        <f aca="false">IF(I160=0,0,J160/I160)</f>
        <v>121.95</v>
      </c>
    </row>
    <row r="161" customFormat="false" ht="15" hidden="false" customHeight="false" outlineLevel="0" collapsed="false">
      <c r="A161" s="2" t="n">
        <v>160</v>
      </c>
      <c r="B161" s="3" t="s">
        <v>59</v>
      </c>
      <c r="C161" s="3" t="s">
        <v>14</v>
      </c>
      <c r="D161" s="3" t="s">
        <v>22</v>
      </c>
      <c r="E161" s="3" t="s">
        <v>16</v>
      </c>
      <c r="F161" s="3" t="s">
        <v>17</v>
      </c>
      <c r="G161" s="3" t="s">
        <v>34</v>
      </c>
      <c r="H161" s="2" t="n">
        <v>11</v>
      </c>
      <c r="I161" s="2" t="n">
        <v>6</v>
      </c>
      <c r="J161" s="4" t="n">
        <v>748.8</v>
      </c>
      <c r="K161" s="4" t="n">
        <v>334.95</v>
      </c>
      <c r="L161" s="5" t="n">
        <f aca="false">IF(H161=0,0,I161/H161)</f>
        <v>0.545454545454545</v>
      </c>
      <c r="M161" s="6" t="n">
        <f aca="false">IF(I161=0,0,J161/I161)</f>
        <v>124.8</v>
      </c>
    </row>
    <row r="162" customFormat="false" ht="15" hidden="false" customHeight="false" outlineLevel="0" collapsed="false">
      <c r="A162" s="2" t="n">
        <v>161</v>
      </c>
      <c r="B162" s="3" t="s">
        <v>59</v>
      </c>
      <c r="C162" s="3" t="s">
        <v>14</v>
      </c>
      <c r="D162" s="3" t="s">
        <v>19</v>
      </c>
      <c r="E162" s="3" t="s">
        <v>25</v>
      </c>
      <c r="F162" s="3" t="s">
        <v>29</v>
      </c>
      <c r="G162" s="3" t="s">
        <v>18</v>
      </c>
      <c r="H162" s="2" t="n">
        <v>8</v>
      </c>
      <c r="I162" s="2" t="n">
        <v>1</v>
      </c>
      <c r="J162" s="4" t="n">
        <v>778.65</v>
      </c>
      <c r="K162" s="4" t="n">
        <v>113.56</v>
      </c>
      <c r="L162" s="5" t="n">
        <f aca="false">IF(H162=0,0,I162/H162)</f>
        <v>0.125</v>
      </c>
      <c r="M162" s="6" t="n">
        <f aca="false">IF(I162=0,0,J162/I162)</f>
        <v>778.65</v>
      </c>
    </row>
    <row r="163" customFormat="false" ht="15" hidden="false" customHeight="false" outlineLevel="0" collapsed="false">
      <c r="A163" s="2" t="n">
        <v>162</v>
      </c>
      <c r="B163" s="3" t="s">
        <v>59</v>
      </c>
      <c r="C163" s="3" t="s">
        <v>14</v>
      </c>
      <c r="D163" s="3" t="s">
        <v>22</v>
      </c>
      <c r="E163" s="3" t="s">
        <v>28</v>
      </c>
      <c r="F163" s="3" t="s">
        <v>17</v>
      </c>
      <c r="G163" s="3" t="s">
        <v>30</v>
      </c>
      <c r="H163" s="2" t="n">
        <v>5</v>
      </c>
      <c r="I163" s="2" t="n">
        <v>1</v>
      </c>
      <c r="J163" s="4" t="n">
        <v>103.81</v>
      </c>
      <c r="K163" s="4" t="n">
        <v>40.46</v>
      </c>
      <c r="L163" s="5" t="n">
        <f aca="false">IF(H163=0,0,I163/H163)</f>
        <v>0.2</v>
      </c>
      <c r="M163" s="6" t="n">
        <f aca="false">IF(I163=0,0,J163/I163)</f>
        <v>103.81</v>
      </c>
    </row>
    <row r="164" customFormat="false" ht="15" hidden="false" customHeight="false" outlineLevel="0" collapsed="false">
      <c r="A164" s="2" t="n">
        <v>163</v>
      </c>
      <c r="B164" s="3" t="s">
        <v>60</v>
      </c>
      <c r="C164" s="3" t="s">
        <v>14</v>
      </c>
      <c r="D164" s="3" t="s">
        <v>24</v>
      </c>
      <c r="E164" s="3" t="s">
        <v>28</v>
      </c>
      <c r="F164" s="3" t="s">
        <v>23</v>
      </c>
      <c r="G164" s="3" t="s">
        <v>26</v>
      </c>
      <c r="H164" s="2" t="n">
        <v>10</v>
      </c>
      <c r="I164" s="2" t="n">
        <v>3</v>
      </c>
      <c r="J164" s="4" t="n">
        <v>1073.6</v>
      </c>
      <c r="K164" s="4" t="n">
        <v>279.72</v>
      </c>
      <c r="L164" s="5" t="n">
        <f aca="false">IF(H164=0,0,I164/H164)</f>
        <v>0.3</v>
      </c>
      <c r="M164" s="6" t="n">
        <f aca="false">IF(I164=0,0,J164/I164)</f>
        <v>357.866666666667</v>
      </c>
    </row>
    <row r="165" customFormat="false" ht="15" hidden="false" customHeight="false" outlineLevel="0" collapsed="false">
      <c r="A165" s="2" t="n">
        <v>164</v>
      </c>
      <c r="B165" s="3" t="s">
        <v>60</v>
      </c>
      <c r="C165" s="3" t="s">
        <v>14</v>
      </c>
      <c r="D165" s="3" t="s">
        <v>15</v>
      </c>
      <c r="E165" s="3" t="s">
        <v>25</v>
      </c>
      <c r="F165" s="3" t="s">
        <v>29</v>
      </c>
      <c r="G165" s="3" t="s">
        <v>18</v>
      </c>
      <c r="H165" s="2" t="n">
        <v>7</v>
      </c>
      <c r="I165" s="2" t="n">
        <v>1</v>
      </c>
      <c r="J165" s="4" t="n">
        <v>145.55</v>
      </c>
      <c r="K165" s="4" t="n">
        <v>43.53</v>
      </c>
      <c r="L165" s="5" t="n">
        <f aca="false">IF(H165=0,0,I165/H165)</f>
        <v>0.142857142857143</v>
      </c>
      <c r="M165" s="6" t="n">
        <f aca="false">IF(I165=0,0,J165/I165)</f>
        <v>145.55</v>
      </c>
    </row>
    <row r="166" customFormat="false" ht="15" hidden="false" customHeight="false" outlineLevel="0" collapsed="false">
      <c r="A166" s="2" t="n">
        <v>165</v>
      </c>
      <c r="B166" s="3" t="s">
        <v>60</v>
      </c>
      <c r="C166" s="3" t="s">
        <v>14</v>
      </c>
      <c r="D166" s="3" t="s">
        <v>24</v>
      </c>
      <c r="E166" s="3" t="s">
        <v>16</v>
      </c>
      <c r="F166" s="3" t="s">
        <v>23</v>
      </c>
      <c r="G166" s="3" t="s">
        <v>26</v>
      </c>
      <c r="H166" s="2" t="n">
        <v>5</v>
      </c>
      <c r="I166" s="2" t="n">
        <v>0</v>
      </c>
      <c r="J166" s="4" t="n">
        <v>0</v>
      </c>
      <c r="K166" s="4" t="n">
        <v>0</v>
      </c>
      <c r="L166" s="5" t="n">
        <f aca="false">IF(H166=0,0,I166/H166)</f>
        <v>0</v>
      </c>
      <c r="M166" s="6" t="n">
        <f aca="false">IF(I166=0,0,J166/I166)</f>
        <v>0</v>
      </c>
    </row>
    <row r="167" customFormat="false" ht="15" hidden="false" customHeight="false" outlineLevel="0" collapsed="false">
      <c r="A167" s="2" t="n">
        <v>166</v>
      </c>
      <c r="B167" s="3" t="s">
        <v>60</v>
      </c>
      <c r="C167" s="3" t="s">
        <v>14</v>
      </c>
      <c r="D167" s="3" t="s">
        <v>24</v>
      </c>
      <c r="E167" s="3" t="s">
        <v>28</v>
      </c>
      <c r="F167" s="3" t="s">
        <v>23</v>
      </c>
      <c r="G167" s="3" t="s">
        <v>31</v>
      </c>
      <c r="H167" s="2" t="n">
        <v>6</v>
      </c>
      <c r="I167" s="2" t="n">
        <v>0</v>
      </c>
      <c r="J167" s="4" t="n">
        <v>0</v>
      </c>
      <c r="K167" s="4" t="n">
        <v>0</v>
      </c>
      <c r="L167" s="5" t="n">
        <f aca="false">IF(H167=0,0,I167/H167)</f>
        <v>0</v>
      </c>
      <c r="M167" s="6" t="n">
        <f aca="false">IF(I167=0,0,J167/I167)</f>
        <v>0</v>
      </c>
    </row>
    <row r="168" customFormat="false" ht="15" hidden="false" customHeight="false" outlineLevel="0" collapsed="false">
      <c r="A168" s="2" t="n">
        <v>167</v>
      </c>
      <c r="B168" s="3" t="s">
        <v>60</v>
      </c>
      <c r="C168" s="3" t="s">
        <v>14</v>
      </c>
      <c r="D168" s="3" t="s">
        <v>15</v>
      </c>
      <c r="E168" s="3" t="s">
        <v>16</v>
      </c>
      <c r="F168" s="3" t="s">
        <v>17</v>
      </c>
      <c r="G168" s="3" t="s">
        <v>31</v>
      </c>
      <c r="H168" s="2" t="n">
        <v>10</v>
      </c>
      <c r="I168" s="2" t="n">
        <v>4</v>
      </c>
      <c r="J168" s="4" t="n">
        <v>797.6</v>
      </c>
      <c r="K168" s="4" t="n">
        <v>227.97</v>
      </c>
      <c r="L168" s="5" t="n">
        <f aca="false">IF(H168=0,0,I168/H168)</f>
        <v>0.4</v>
      </c>
      <c r="M168" s="6" t="n">
        <f aca="false">IF(I168=0,0,J168/I168)</f>
        <v>199.4</v>
      </c>
    </row>
    <row r="169" customFormat="false" ht="15" hidden="false" customHeight="false" outlineLevel="0" collapsed="false">
      <c r="A169" s="2" t="n">
        <v>168</v>
      </c>
      <c r="B169" s="3" t="s">
        <v>60</v>
      </c>
      <c r="C169" s="3" t="s">
        <v>14</v>
      </c>
      <c r="D169" s="3" t="s">
        <v>19</v>
      </c>
      <c r="E169" s="3" t="s">
        <v>16</v>
      </c>
      <c r="F169" s="3" t="s">
        <v>20</v>
      </c>
      <c r="G169" s="3" t="s">
        <v>30</v>
      </c>
      <c r="H169" s="2" t="n">
        <v>5</v>
      </c>
      <c r="I169" s="2" t="n">
        <v>2</v>
      </c>
      <c r="J169" s="4" t="n">
        <v>1585.6</v>
      </c>
      <c r="K169" s="4" t="n">
        <v>228.86</v>
      </c>
      <c r="L169" s="5" t="n">
        <f aca="false">IF(H169=0,0,I169/H169)</f>
        <v>0.4</v>
      </c>
      <c r="M169" s="6" t="n">
        <f aca="false">IF(I169=0,0,J169/I169)</f>
        <v>792.8</v>
      </c>
    </row>
    <row r="170" customFormat="false" ht="15" hidden="false" customHeight="false" outlineLevel="0" collapsed="false">
      <c r="A170" s="2" t="n">
        <v>169</v>
      </c>
      <c r="B170" s="3" t="s">
        <v>60</v>
      </c>
      <c r="C170" s="3" t="s">
        <v>14</v>
      </c>
      <c r="D170" s="3" t="s">
        <v>15</v>
      </c>
      <c r="E170" s="3" t="s">
        <v>25</v>
      </c>
      <c r="F170" s="3" t="s">
        <v>23</v>
      </c>
      <c r="G170" s="3" t="s">
        <v>34</v>
      </c>
      <c r="H170" s="2" t="n">
        <v>6</v>
      </c>
      <c r="I170" s="2" t="n">
        <v>0</v>
      </c>
      <c r="J170" s="4" t="n">
        <v>0</v>
      </c>
      <c r="K170" s="4" t="n">
        <v>0</v>
      </c>
      <c r="L170" s="5" t="n">
        <f aca="false">IF(H170=0,0,I170/H170)</f>
        <v>0</v>
      </c>
      <c r="M170" s="6" t="n">
        <f aca="false">IF(I170=0,0,J170/I170)</f>
        <v>0</v>
      </c>
    </row>
    <row r="171" customFormat="false" ht="15" hidden="false" customHeight="false" outlineLevel="0" collapsed="false">
      <c r="A171" s="2" t="n">
        <v>170</v>
      </c>
      <c r="B171" s="3" t="s">
        <v>60</v>
      </c>
      <c r="C171" s="3" t="s">
        <v>14</v>
      </c>
      <c r="D171" s="3" t="s">
        <v>19</v>
      </c>
      <c r="E171" s="3" t="s">
        <v>16</v>
      </c>
      <c r="F171" s="3" t="s">
        <v>23</v>
      </c>
      <c r="G171" s="3" t="s">
        <v>18</v>
      </c>
      <c r="H171" s="2" t="n">
        <v>3</v>
      </c>
      <c r="I171" s="2" t="n">
        <v>1</v>
      </c>
      <c r="J171" s="4" t="n">
        <v>984.34</v>
      </c>
      <c r="K171" s="4" t="n">
        <v>145.49</v>
      </c>
      <c r="L171" s="5" t="n">
        <f aca="false">IF(H171=0,0,I171/H171)</f>
        <v>0.333333333333333</v>
      </c>
      <c r="M171" s="6" t="n">
        <f aca="false">IF(I171=0,0,J171/I171)</f>
        <v>984.34</v>
      </c>
    </row>
    <row r="172" customFormat="false" ht="15" hidden="false" customHeight="false" outlineLevel="0" collapsed="false">
      <c r="A172" s="2" t="n">
        <v>171</v>
      </c>
      <c r="B172" s="3" t="s">
        <v>60</v>
      </c>
      <c r="C172" s="3" t="s">
        <v>14</v>
      </c>
      <c r="D172" s="3" t="s">
        <v>22</v>
      </c>
      <c r="E172" s="3" t="s">
        <v>16</v>
      </c>
      <c r="F172" s="3" t="s">
        <v>23</v>
      </c>
      <c r="G172" s="3" t="s">
        <v>34</v>
      </c>
      <c r="H172" s="2" t="n">
        <v>6</v>
      </c>
      <c r="I172" s="2" t="n">
        <v>2</v>
      </c>
      <c r="J172" s="4" t="n">
        <v>199.75</v>
      </c>
      <c r="K172" s="4" t="n">
        <v>82.29</v>
      </c>
      <c r="L172" s="5" t="n">
        <f aca="false">IF(H172=0,0,I172/H172)</f>
        <v>0.333333333333333</v>
      </c>
      <c r="M172" s="6" t="n">
        <f aca="false">IF(I172=0,0,J172/I172)</f>
        <v>99.875</v>
      </c>
    </row>
    <row r="173" customFormat="false" ht="15" hidden="false" customHeight="false" outlineLevel="0" collapsed="false">
      <c r="A173" s="2" t="n">
        <v>172</v>
      </c>
      <c r="B173" s="3" t="s">
        <v>60</v>
      </c>
      <c r="C173" s="3" t="s">
        <v>14</v>
      </c>
      <c r="D173" s="3" t="s">
        <v>22</v>
      </c>
      <c r="E173" s="3" t="s">
        <v>33</v>
      </c>
      <c r="F173" s="3" t="s">
        <v>23</v>
      </c>
      <c r="G173" s="3" t="s">
        <v>21</v>
      </c>
      <c r="H173" s="2" t="n">
        <v>6</v>
      </c>
      <c r="I173" s="2" t="n">
        <v>3</v>
      </c>
      <c r="J173" s="4" t="n">
        <v>290.3</v>
      </c>
      <c r="K173" s="4" t="n">
        <v>122.2</v>
      </c>
      <c r="L173" s="5" t="n">
        <f aca="false">IF(H173=0,0,I173/H173)</f>
        <v>0.5</v>
      </c>
      <c r="M173" s="6" t="n">
        <f aca="false">IF(I173=0,0,J173/I173)</f>
        <v>96.7666666666667</v>
      </c>
    </row>
    <row r="174" customFormat="false" ht="15" hidden="false" customHeight="false" outlineLevel="0" collapsed="false">
      <c r="A174" s="2" t="n">
        <v>173</v>
      </c>
      <c r="B174" s="3" t="s">
        <v>60</v>
      </c>
      <c r="C174" s="3" t="s">
        <v>14</v>
      </c>
      <c r="D174" s="3" t="s">
        <v>24</v>
      </c>
      <c r="E174" s="3" t="s">
        <v>16</v>
      </c>
      <c r="F174" s="3" t="s">
        <v>17</v>
      </c>
      <c r="G174" s="3" t="s">
        <v>21</v>
      </c>
      <c r="H174" s="2" t="n">
        <v>10</v>
      </c>
      <c r="I174" s="2" t="n">
        <v>5</v>
      </c>
      <c r="J174" s="4" t="n">
        <v>1709.53</v>
      </c>
      <c r="K174" s="4" t="n">
        <v>441.14</v>
      </c>
      <c r="L174" s="5" t="n">
        <f aca="false">IF(H174=0,0,I174/H174)</f>
        <v>0.5</v>
      </c>
      <c r="M174" s="6" t="n">
        <f aca="false">IF(I174=0,0,J174/I174)</f>
        <v>341.906</v>
      </c>
    </row>
    <row r="175" customFormat="false" ht="15" hidden="false" customHeight="false" outlineLevel="0" collapsed="false">
      <c r="A175" s="2" t="n">
        <v>174</v>
      </c>
      <c r="B175" s="3" t="s">
        <v>60</v>
      </c>
      <c r="C175" s="3" t="s">
        <v>14</v>
      </c>
      <c r="D175" s="3" t="s">
        <v>15</v>
      </c>
      <c r="E175" s="3" t="s">
        <v>25</v>
      </c>
      <c r="F175" s="3" t="s">
        <v>17</v>
      </c>
      <c r="G175" s="3" t="s">
        <v>34</v>
      </c>
      <c r="H175" s="2" t="n">
        <v>6</v>
      </c>
      <c r="I175" s="2" t="n">
        <v>2</v>
      </c>
      <c r="J175" s="4" t="n">
        <v>413.73</v>
      </c>
      <c r="K175" s="4" t="n">
        <v>130.94</v>
      </c>
      <c r="L175" s="5" t="n">
        <f aca="false">IF(H175=0,0,I175/H175)</f>
        <v>0.333333333333333</v>
      </c>
      <c r="M175" s="6" t="n">
        <f aca="false">IF(I175=0,0,J175/I175)</f>
        <v>206.865</v>
      </c>
    </row>
    <row r="176" customFormat="false" ht="15" hidden="false" customHeight="false" outlineLevel="0" collapsed="false">
      <c r="A176" s="2" t="n">
        <v>175</v>
      </c>
      <c r="B176" s="3" t="s">
        <v>60</v>
      </c>
      <c r="C176" s="3" t="s">
        <v>14</v>
      </c>
      <c r="D176" s="3" t="s">
        <v>19</v>
      </c>
      <c r="E176" s="3" t="s">
        <v>25</v>
      </c>
      <c r="F176" s="3" t="s">
        <v>23</v>
      </c>
      <c r="G176" s="3" t="s">
        <v>30</v>
      </c>
      <c r="H176" s="2" t="n">
        <v>8</v>
      </c>
      <c r="I176" s="2" t="n">
        <v>0</v>
      </c>
      <c r="J176" s="4" t="n">
        <v>0</v>
      </c>
      <c r="K176" s="4" t="n">
        <v>0</v>
      </c>
      <c r="L176" s="5" t="n">
        <f aca="false">IF(H176=0,0,I176/H176)</f>
        <v>0</v>
      </c>
      <c r="M176" s="6" t="n">
        <f aca="false">IF(I176=0,0,J176/I176)</f>
        <v>0</v>
      </c>
    </row>
    <row r="177" customFormat="false" ht="15" hidden="false" customHeight="false" outlineLevel="0" collapsed="false">
      <c r="A177" s="2" t="n">
        <v>176</v>
      </c>
      <c r="B177" s="3" t="s">
        <v>60</v>
      </c>
      <c r="C177" s="3" t="s">
        <v>14</v>
      </c>
      <c r="D177" s="3" t="s">
        <v>22</v>
      </c>
      <c r="E177" s="3" t="s">
        <v>16</v>
      </c>
      <c r="F177" s="3" t="s">
        <v>17</v>
      </c>
      <c r="G177" s="3" t="s">
        <v>26</v>
      </c>
      <c r="H177" s="2" t="n">
        <v>7</v>
      </c>
      <c r="I177" s="2" t="n">
        <v>1</v>
      </c>
      <c r="J177" s="4" t="n">
        <v>91.31</v>
      </c>
      <c r="K177" s="4" t="n">
        <v>37.68</v>
      </c>
      <c r="L177" s="5" t="n">
        <f aca="false">IF(H177=0,0,I177/H177)</f>
        <v>0.142857142857143</v>
      </c>
      <c r="M177" s="6" t="n">
        <f aca="false">IF(I177=0,0,J177/I177)</f>
        <v>91.31</v>
      </c>
    </row>
    <row r="178" customFormat="false" ht="15" hidden="false" customHeight="false" outlineLevel="0" collapsed="false">
      <c r="A178" s="2" t="n">
        <v>177</v>
      </c>
      <c r="B178" s="3" t="s">
        <v>60</v>
      </c>
      <c r="C178" s="3" t="s">
        <v>14</v>
      </c>
      <c r="D178" s="3" t="s">
        <v>19</v>
      </c>
      <c r="E178" s="3" t="s">
        <v>25</v>
      </c>
      <c r="F178" s="3" t="s">
        <v>17</v>
      </c>
      <c r="G178" s="3" t="s">
        <v>31</v>
      </c>
      <c r="H178" s="2" t="n">
        <v>6</v>
      </c>
      <c r="I178" s="2" t="n">
        <v>0</v>
      </c>
      <c r="J178" s="4" t="n">
        <v>0</v>
      </c>
      <c r="K178" s="4" t="n">
        <v>0</v>
      </c>
      <c r="L178" s="5" t="n">
        <f aca="false">IF(H178=0,0,I178/H178)</f>
        <v>0</v>
      </c>
      <c r="M178" s="6" t="n">
        <f aca="false">IF(I178=0,0,J178/I178)</f>
        <v>0</v>
      </c>
    </row>
    <row r="179" customFormat="false" ht="15" hidden="false" customHeight="false" outlineLevel="0" collapsed="false">
      <c r="A179" s="2" t="n">
        <v>178</v>
      </c>
      <c r="B179" s="3" t="s">
        <v>61</v>
      </c>
      <c r="C179" s="3" t="s">
        <v>14</v>
      </c>
      <c r="D179" s="3" t="s">
        <v>22</v>
      </c>
      <c r="E179" s="3" t="s">
        <v>28</v>
      </c>
      <c r="F179" s="3" t="s">
        <v>23</v>
      </c>
      <c r="G179" s="3" t="s">
        <v>31</v>
      </c>
      <c r="H179" s="2" t="n">
        <v>6</v>
      </c>
      <c r="I179" s="2" t="n">
        <v>2</v>
      </c>
      <c r="J179" s="4" t="n">
        <v>189.77</v>
      </c>
      <c r="K179" s="4" t="n">
        <v>81.05</v>
      </c>
      <c r="L179" s="5" t="n">
        <f aca="false">IF(H179=0,0,I179/H179)</f>
        <v>0.333333333333333</v>
      </c>
      <c r="M179" s="6" t="n">
        <f aca="false">IF(I179=0,0,J179/I179)</f>
        <v>94.885</v>
      </c>
    </row>
    <row r="180" customFormat="false" ht="15" hidden="false" customHeight="false" outlineLevel="0" collapsed="false">
      <c r="A180" s="2" t="n">
        <v>179</v>
      </c>
      <c r="B180" s="3" t="s">
        <v>61</v>
      </c>
      <c r="C180" s="3" t="s">
        <v>14</v>
      </c>
      <c r="D180" s="3" t="s">
        <v>24</v>
      </c>
      <c r="E180" s="3" t="s">
        <v>33</v>
      </c>
      <c r="F180" s="3" t="s">
        <v>20</v>
      </c>
      <c r="G180" s="3" t="s">
        <v>21</v>
      </c>
      <c r="H180" s="2" t="n">
        <v>5</v>
      </c>
      <c r="I180" s="2" t="n">
        <v>2</v>
      </c>
      <c r="J180" s="4" t="n">
        <v>561.07</v>
      </c>
      <c r="K180" s="4" t="n">
        <v>131.11</v>
      </c>
      <c r="L180" s="5" t="n">
        <f aca="false">IF(H180=0,0,I180/H180)</f>
        <v>0.4</v>
      </c>
      <c r="M180" s="6" t="n">
        <f aca="false">IF(I180=0,0,J180/I180)</f>
        <v>280.535</v>
      </c>
    </row>
    <row r="181" customFormat="false" ht="15" hidden="false" customHeight="false" outlineLevel="0" collapsed="false">
      <c r="A181" s="2" t="n">
        <v>180</v>
      </c>
      <c r="B181" s="3" t="s">
        <v>61</v>
      </c>
      <c r="C181" s="3" t="s">
        <v>14</v>
      </c>
      <c r="D181" s="3" t="s">
        <v>24</v>
      </c>
      <c r="E181" s="3" t="s">
        <v>25</v>
      </c>
      <c r="F181" s="3" t="s">
        <v>29</v>
      </c>
      <c r="G181" s="3" t="s">
        <v>30</v>
      </c>
      <c r="H181" s="2" t="n">
        <v>9</v>
      </c>
      <c r="I181" s="2" t="n">
        <v>4</v>
      </c>
      <c r="J181" s="4" t="n">
        <v>1293.71</v>
      </c>
      <c r="K181" s="4" t="n">
        <v>343.25</v>
      </c>
      <c r="L181" s="5" t="n">
        <f aca="false">IF(H181=0,0,I181/H181)</f>
        <v>0.444444444444444</v>
      </c>
      <c r="M181" s="6" t="n">
        <f aca="false">IF(I181=0,0,J181/I181)</f>
        <v>323.4275</v>
      </c>
    </row>
    <row r="182" customFormat="false" ht="15" hidden="false" customHeight="false" outlineLevel="0" collapsed="false">
      <c r="A182" s="2" t="n">
        <v>181</v>
      </c>
      <c r="B182" s="3" t="s">
        <v>61</v>
      </c>
      <c r="C182" s="3" t="s">
        <v>14</v>
      </c>
      <c r="D182" s="3" t="s">
        <v>19</v>
      </c>
      <c r="E182" s="3" t="s">
        <v>25</v>
      </c>
      <c r="F182" s="3" t="s">
        <v>29</v>
      </c>
      <c r="G182" s="3" t="s">
        <v>34</v>
      </c>
      <c r="H182" s="2" t="n">
        <v>11</v>
      </c>
      <c r="I182" s="2" t="n">
        <v>2</v>
      </c>
      <c r="J182" s="4" t="n">
        <v>1580.79</v>
      </c>
      <c r="K182" s="4" t="n">
        <v>235.12</v>
      </c>
      <c r="L182" s="5" t="n">
        <f aca="false">IF(H182=0,0,I182/H182)</f>
        <v>0.181818181818182</v>
      </c>
      <c r="M182" s="6" t="n">
        <f aca="false">IF(I182=0,0,J182/I182)</f>
        <v>790.395</v>
      </c>
    </row>
    <row r="183" customFormat="false" ht="15" hidden="false" customHeight="false" outlineLevel="0" collapsed="false">
      <c r="A183" s="2" t="n">
        <v>182</v>
      </c>
      <c r="B183" s="3" t="s">
        <v>61</v>
      </c>
      <c r="C183" s="3" t="s">
        <v>14</v>
      </c>
      <c r="D183" s="3" t="s">
        <v>19</v>
      </c>
      <c r="E183" s="3" t="s">
        <v>33</v>
      </c>
      <c r="F183" s="3" t="s">
        <v>17</v>
      </c>
      <c r="G183" s="3" t="s">
        <v>18</v>
      </c>
      <c r="H183" s="2" t="n">
        <v>5</v>
      </c>
      <c r="I183" s="2" t="n">
        <v>1</v>
      </c>
      <c r="J183" s="4" t="n">
        <v>680.23</v>
      </c>
      <c r="K183" s="4" t="n">
        <v>90.65</v>
      </c>
      <c r="L183" s="5" t="n">
        <f aca="false">IF(H183=0,0,I183/H183)</f>
        <v>0.2</v>
      </c>
      <c r="M183" s="6" t="n">
        <f aca="false">IF(I183=0,0,J183/I183)</f>
        <v>680.23</v>
      </c>
    </row>
    <row r="184" customFormat="false" ht="15" hidden="false" customHeight="false" outlineLevel="0" collapsed="false">
      <c r="A184" s="2" t="n">
        <v>183</v>
      </c>
      <c r="B184" s="3" t="s">
        <v>61</v>
      </c>
      <c r="C184" s="3" t="s">
        <v>14</v>
      </c>
      <c r="D184" s="3" t="s">
        <v>15</v>
      </c>
      <c r="E184" s="3" t="s">
        <v>33</v>
      </c>
      <c r="F184" s="3" t="s">
        <v>23</v>
      </c>
      <c r="G184" s="3" t="s">
        <v>34</v>
      </c>
      <c r="H184" s="2" t="n">
        <v>5</v>
      </c>
      <c r="I184" s="2" t="n">
        <v>1</v>
      </c>
      <c r="J184" s="4" t="n">
        <v>150.98</v>
      </c>
      <c r="K184" s="4" t="n">
        <v>48.57</v>
      </c>
      <c r="L184" s="5" t="n">
        <f aca="false">IF(H184=0,0,I184/H184)</f>
        <v>0.2</v>
      </c>
      <c r="M184" s="6" t="n">
        <f aca="false">IF(I184=0,0,J184/I184)</f>
        <v>150.98</v>
      </c>
    </row>
    <row r="185" customFormat="false" ht="15" hidden="false" customHeight="false" outlineLevel="0" collapsed="false">
      <c r="A185" s="2" t="n">
        <v>184</v>
      </c>
      <c r="B185" s="3" t="s">
        <v>61</v>
      </c>
      <c r="C185" s="3" t="s">
        <v>14</v>
      </c>
      <c r="D185" s="3" t="s">
        <v>15</v>
      </c>
      <c r="E185" s="3" t="s">
        <v>33</v>
      </c>
      <c r="F185" s="3" t="s">
        <v>29</v>
      </c>
      <c r="G185" s="3" t="s">
        <v>26</v>
      </c>
      <c r="H185" s="2" t="n">
        <v>8</v>
      </c>
      <c r="I185" s="2" t="n">
        <v>2</v>
      </c>
      <c r="J185" s="4" t="n">
        <v>354.72</v>
      </c>
      <c r="K185" s="4" t="n">
        <v>112.63</v>
      </c>
      <c r="L185" s="5" t="n">
        <f aca="false">IF(H185=0,0,I185/H185)</f>
        <v>0.25</v>
      </c>
      <c r="M185" s="6" t="n">
        <f aca="false">IF(I185=0,0,J185/I185)</f>
        <v>177.36</v>
      </c>
    </row>
    <row r="186" customFormat="false" ht="15" hidden="false" customHeight="false" outlineLevel="0" collapsed="false">
      <c r="A186" s="2" t="n">
        <v>185</v>
      </c>
      <c r="B186" s="3" t="s">
        <v>61</v>
      </c>
      <c r="C186" s="3" t="s">
        <v>14</v>
      </c>
      <c r="D186" s="3" t="s">
        <v>27</v>
      </c>
      <c r="E186" s="3" t="s">
        <v>28</v>
      </c>
      <c r="F186" s="3" t="s">
        <v>23</v>
      </c>
      <c r="G186" s="3" t="s">
        <v>26</v>
      </c>
      <c r="H186" s="2" t="n">
        <v>7</v>
      </c>
      <c r="I186" s="2" t="n">
        <v>2</v>
      </c>
      <c r="J186" s="4" t="n">
        <v>2641.35</v>
      </c>
      <c r="K186" s="4" t="n">
        <v>471.18</v>
      </c>
      <c r="L186" s="5" t="n">
        <f aca="false">IF(H186=0,0,I186/H186)</f>
        <v>0.285714285714286</v>
      </c>
      <c r="M186" s="6" t="n">
        <f aca="false">IF(I186=0,0,J186/I186)</f>
        <v>1320.675</v>
      </c>
    </row>
    <row r="187" customFormat="false" ht="15" hidden="false" customHeight="false" outlineLevel="0" collapsed="false">
      <c r="A187" s="2" t="n">
        <v>186</v>
      </c>
      <c r="B187" s="3" t="s">
        <v>62</v>
      </c>
      <c r="C187" s="3" t="s">
        <v>14</v>
      </c>
      <c r="D187" s="3" t="s">
        <v>27</v>
      </c>
      <c r="E187" s="3" t="s">
        <v>16</v>
      </c>
      <c r="F187" s="3" t="s">
        <v>29</v>
      </c>
      <c r="G187" s="3" t="s">
        <v>30</v>
      </c>
      <c r="H187" s="2" t="n">
        <v>11</v>
      </c>
      <c r="I187" s="2" t="n">
        <v>3</v>
      </c>
      <c r="J187" s="4" t="n">
        <v>4323.11</v>
      </c>
      <c r="K187" s="4" t="n">
        <v>784.81</v>
      </c>
      <c r="L187" s="5" t="n">
        <f aca="false">IF(H187=0,0,I187/H187)</f>
        <v>0.272727272727273</v>
      </c>
      <c r="M187" s="6" t="n">
        <f aca="false">IF(I187=0,0,J187/I187)</f>
        <v>1441.03666666667</v>
      </c>
    </row>
    <row r="188" customFormat="false" ht="15" hidden="false" customHeight="false" outlineLevel="0" collapsed="false">
      <c r="A188" s="2" t="n">
        <v>187</v>
      </c>
      <c r="B188" s="3" t="s">
        <v>62</v>
      </c>
      <c r="C188" s="3" t="s">
        <v>14</v>
      </c>
      <c r="D188" s="3" t="s">
        <v>19</v>
      </c>
      <c r="E188" s="3" t="s">
        <v>33</v>
      </c>
      <c r="F188" s="3" t="s">
        <v>23</v>
      </c>
      <c r="G188" s="3" t="s">
        <v>34</v>
      </c>
      <c r="H188" s="2" t="n">
        <v>7</v>
      </c>
      <c r="I188" s="2" t="n">
        <v>3</v>
      </c>
      <c r="J188" s="4" t="n">
        <v>2021.39</v>
      </c>
      <c r="K188" s="4" t="n">
        <v>297.89</v>
      </c>
      <c r="L188" s="5" t="n">
        <f aca="false">IF(H188=0,0,I188/H188)</f>
        <v>0.428571428571429</v>
      </c>
      <c r="M188" s="6" t="n">
        <f aca="false">IF(I188=0,0,J188/I188)</f>
        <v>673.796666666667</v>
      </c>
    </row>
    <row r="189" customFormat="false" ht="15" hidden="false" customHeight="false" outlineLevel="0" collapsed="false">
      <c r="A189" s="2" t="n">
        <v>188</v>
      </c>
      <c r="B189" s="3" t="s">
        <v>62</v>
      </c>
      <c r="C189" s="3" t="s">
        <v>14</v>
      </c>
      <c r="D189" s="3" t="s">
        <v>22</v>
      </c>
      <c r="E189" s="3" t="s">
        <v>25</v>
      </c>
      <c r="F189" s="3" t="s">
        <v>29</v>
      </c>
      <c r="G189" s="3" t="s">
        <v>34</v>
      </c>
      <c r="H189" s="2" t="n">
        <v>3</v>
      </c>
      <c r="I189" s="2" t="n">
        <v>1</v>
      </c>
      <c r="J189" s="4" t="n">
        <v>117.13</v>
      </c>
      <c r="K189" s="4" t="n">
        <v>50.94</v>
      </c>
      <c r="L189" s="5" t="n">
        <f aca="false">IF(H189=0,0,I189/H189)</f>
        <v>0.333333333333333</v>
      </c>
      <c r="M189" s="6" t="n">
        <f aca="false">IF(I189=0,0,J189/I189)</f>
        <v>117.13</v>
      </c>
    </row>
    <row r="190" customFormat="false" ht="15" hidden="false" customHeight="false" outlineLevel="0" collapsed="false">
      <c r="A190" s="2" t="n">
        <v>189</v>
      </c>
      <c r="B190" s="3" t="s">
        <v>62</v>
      </c>
      <c r="C190" s="3" t="s">
        <v>14</v>
      </c>
      <c r="D190" s="3" t="s">
        <v>22</v>
      </c>
      <c r="E190" s="3" t="s">
        <v>25</v>
      </c>
      <c r="F190" s="3" t="s">
        <v>23</v>
      </c>
      <c r="G190" s="3" t="s">
        <v>31</v>
      </c>
      <c r="H190" s="2" t="n">
        <v>4</v>
      </c>
      <c r="I190" s="2" t="n">
        <v>0</v>
      </c>
      <c r="J190" s="4" t="n">
        <v>0</v>
      </c>
      <c r="K190" s="4" t="n">
        <v>0</v>
      </c>
      <c r="L190" s="5" t="n">
        <f aca="false">IF(H190=0,0,I190/H190)</f>
        <v>0</v>
      </c>
      <c r="M190" s="6" t="n">
        <f aca="false">IF(I190=0,0,J190/I190)</f>
        <v>0</v>
      </c>
    </row>
    <row r="191" customFormat="false" ht="15" hidden="false" customHeight="false" outlineLevel="0" collapsed="false">
      <c r="A191" s="2" t="n">
        <v>190</v>
      </c>
      <c r="B191" s="3" t="s">
        <v>63</v>
      </c>
      <c r="C191" s="3" t="s">
        <v>14</v>
      </c>
      <c r="D191" s="3" t="s">
        <v>24</v>
      </c>
      <c r="E191" s="3" t="s">
        <v>25</v>
      </c>
      <c r="F191" s="3" t="s">
        <v>23</v>
      </c>
      <c r="G191" s="3" t="s">
        <v>30</v>
      </c>
      <c r="H191" s="2" t="n">
        <v>11</v>
      </c>
      <c r="I191" s="2" t="n">
        <v>2</v>
      </c>
      <c r="J191" s="4" t="n">
        <v>597.23</v>
      </c>
      <c r="K191" s="4" t="n">
        <v>137.89</v>
      </c>
      <c r="L191" s="5" t="n">
        <f aca="false">IF(H191=0,0,I191/H191)</f>
        <v>0.181818181818182</v>
      </c>
      <c r="M191" s="6" t="n">
        <f aca="false">IF(I191=0,0,J191/I191)</f>
        <v>298.615</v>
      </c>
    </row>
    <row r="192" customFormat="false" ht="15" hidden="false" customHeight="false" outlineLevel="0" collapsed="false">
      <c r="A192" s="2" t="n">
        <v>191</v>
      </c>
      <c r="B192" s="3" t="s">
        <v>63</v>
      </c>
      <c r="C192" s="3" t="s">
        <v>14</v>
      </c>
      <c r="D192" s="3" t="s">
        <v>27</v>
      </c>
      <c r="E192" s="3" t="s">
        <v>33</v>
      </c>
      <c r="F192" s="3" t="s">
        <v>23</v>
      </c>
      <c r="G192" s="3" t="s">
        <v>31</v>
      </c>
      <c r="H192" s="2" t="n">
        <v>6</v>
      </c>
      <c r="I192" s="2" t="n">
        <v>0</v>
      </c>
      <c r="J192" s="4" t="n">
        <v>0</v>
      </c>
      <c r="K192" s="4" t="n">
        <v>0</v>
      </c>
      <c r="L192" s="5" t="n">
        <f aca="false">IF(H192=0,0,I192/H192)</f>
        <v>0</v>
      </c>
      <c r="M192" s="6" t="n">
        <f aca="false">IF(I192=0,0,J192/I192)</f>
        <v>0</v>
      </c>
    </row>
    <row r="193" customFormat="false" ht="15" hidden="false" customHeight="false" outlineLevel="0" collapsed="false">
      <c r="A193" s="2" t="n">
        <v>192</v>
      </c>
      <c r="B193" s="3" t="s">
        <v>64</v>
      </c>
      <c r="C193" s="3" t="s">
        <v>65</v>
      </c>
      <c r="D193" s="3" t="s">
        <v>24</v>
      </c>
      <c r="E193" s="3" t="s">
        <v>33</v>
      </c>
      <c r="F193" s="3" t="s">
        <v>23</v>
      </c>
      <c r="G193" s="3" t="s">
        <v>34</v>
      </c>
      <c r="H193" s="2" t="n">
        <v>7</v>
      </c>
      <c r="I193" s="2" t="n">
        <v>2</v>
      </c>
      <c r="J193" s="4" t="n">
        <v>672.74</v>
      </c>
      <c r="K193" s="4" t="n">
        <v>165.62</v>
      </c>
      <c r="L193" s="5" t="n">
        <f aca="false">IF(H193=0,0,I193/H193)</f>
        <v>0.285714285714286</v>
      </c>
      <c r="M193" s="6" t="n">
        <f aca="false">IF(I193=0,0,J193/I193)</f>
        <v>336.37</v>
      </c>
    </row>
    <row r="194" customFormat="false" ht="15" hidden="false" customHeight="false" outlineLevel="0" collapsed="false">
      <c r="A194" s="2" t="n">
        <v>193</v>
      </c>
      <c r="B194" s="3" t="s">
        <v>64</v>
      </c>
      <c r="C194" s="3" t="s">
        <v>65</v>
      </c>
      <c r="D194" s="3" t="s">
        <v>22</v>
      </c>
      <c r="E194" s="3" t="s">
        <v>16</v>
      </c>
      <c r="F194" s="3" t="s">
        <v>23</v>
      </c>
      <c r="G194" s="3" t="s">
        <v>34</v>
      </c>
      <c r="H194" s="2" t="n">
        <v>7</v>
      </c>
      <c r="I194" s="2" t="n">
        <v>3</v>
      </c>
      <c r="J194" s="4" t="n">
        <v>284.67</v>
      </c>
      <c r="K194" s="4" t="n">
        <v>117.18</v>
      </c>
      <c r="L194" s="5" t="n">
        <f aca="false">IF(H194=0,0,I194/H194)</f>
        <v>0.428571428571429</v>
      </c>
      <c r="M194" s="6" t="n">
        <f aca="false">IF(I194=0,0,J194/I194)</f>
        <v>94.89</v>
      </c>
    </row>
    <row r="195" customFormat="false" ht="15" hidden="false" customHeight="false" outlineLevel="0" collapsed="false">
      <c r="A195" s="2" t="n">
        <v>194</v>
      </c>
      <c r="B195" s="3" t="s">
        <v>66</v>
      </c>
      <c r="C195" s="3" t="s">
        <v>65</v>
      </c>
      <c r="D195" s="3" t="s">
        <v>22</v>
      </c>
      <c r="E195" s="3" t="s">
        <v>25</v>
      </c>
      <c r="F195" s="3" t="s">
        <v>29</v>
      </c>
      <c r="G195" s="3" t="s">
        <v>21</v>
      </c>
      <c r="H195" s="2" t="n">
        <v>7</v>
      </c>
      <c r="I195" s="2" t="n">
        <v>0</v>
      </c>
      <c r="J195" s="4" t="n">
        <v>0</v>
      </c>
      <c r="K195" s="4" t="n">
        <v>0</v>
      </c>
      <c r="L195" s="5" t="n">
        <f aca="false">IF(H195=0,0,I195/H195)</f>
        <v>0</v>
      </c>
      <c r="M195" s="6" t="n">
        <f aca="false">IF(I195=0,0,J195/I195)</f>
        <v>0</v>
      </c>
    </row>
    <row r="196" customFormat="false" ht="15" hidden="false" customHeight="false" outlineLevel="0" collapsed="false">
      <c r="A196" s="2" t="n">
        <v>195</v>
      </c>
      <c r="B196" s="3" t="s">
        <v>66</v>
      </c>
      <c r="C196" s="3" t="s">
        <v>65</v>
      </c>
      <c r="D196" s="3" t="s">
        <v>24</v>
      </c>
      <c r="E196" s="3" t="s">
        <v>25</v>
      </c>
      <c r="F196" s="3" t="s">
        <v>23</v>
      </c>
      <c r="G196" s="3" t="s">
        <v>21</v>
      </c>
      <c r="H196" s="2" t="n">
        <v>3</v>
      </c>
      <c r="I196" s="2" t="n">
        <v>1</v>
      </c>
      <c r="J196" s="4" t="n">
        <v>263.43</v>
      </c>
      <c r="K196" s="4" t="n">
        <v>64.71</v>
      </c>
      <c r="L196" s="5" t="n">
        <f aca="false">IF(H196=0,0,I196/H196)</f>
        <v>0.333333333333333</v>
      </c>
      <c r="M196" s="6" t="n">
        <f aca="false">IF(I196=0,0,J196/I196)</f>
        <v>263.43</v>
      </c>
    </row>
    <row r="197" customFormat="false" ht="15" hidden="false" customHeight="false" outlineLevel="0" collapsed="false">
      <c r="A197" s="2" t="n">
        <v>196</v>
      </c>
      <c r="B197" s="3" t="s">
        <v>66</v>
      </c>
      <c r="C197" s="3" t="s">
        <v>65</v>
      </c>
      <c r="D197" s="3" t="s">
        <v>19</v>
      </c>
      <c r="E197" s="3" t="s">
        <v>16</v>
      </c>
      <c r="F197" s="3" t="s">
        <v>20</v>
      </c>
      <c r="G197" s="3" t="s">
        <v>31</v>
      </c>
      <c r="H197" s="2" t="n">
        <v>8</v>
      </c>
      <c r="I197" s="2" t="n">
        <v>1</v>
      </c>
      <c r="J197" s="4" t="n">
        <v>737.97</v>
      </c>
      <c r="K197" s="4" t="n">
        <v>102.07</v>
      </c>
      <c r="L197" s="5" t="n">
        <f aca="false">IF(H197=0,0,I197/H197)</f>
        <v>0.125</v>
      </c>
      <c r="M197" s="6" t="n">
        <f aca="false">IF(I197=0,0,J197/I197)</f>
        <v>737.97</v>
      </c>
    </row>
    <row r="198" customFormat="false" ht="15" hidden="false" customHeight="false" outlineLevel="0" collapsed="false">
      <c r="A198" s="2" t="n">
        <v>197</v>
      </c>
      <c r="B198" s="3" t="s">
        <v>66</v>
      </c>
      <c r="C198" s="3" t="s">
        <v>65</v>
      </c>
      <c r="D198" s="3" t="s">
        <v>27</v>
      </c>
      <c r="E198" s="3" t="s">
        <v>25</v>
      </c>
      <c r="F198" s="3" t="s">
        <v>23</v>
      </c>
      <c r="G198" s="3" t="s">
        <v>34</v>
      </c>
      <c r="H198" s="2" t="n">
        <v>9</v>
      </c>
      <c r="I198" s="2" t="n">
        <v>1</v>
      </c>
      <c r="J198" s="4" t="n">
        <v>1746.17</v>
      </c>
      <c r="K198" s="4" t="n">
        <v>312.46</v>
      </c>
      <c r="L198" s="5" t="n">
        <f aca="false">IF(H198=0,0,I198/H198)</f>
        <v>0.111111111111111</v>
      </c>
      <c r="M198" s="6" t="n">
        <f aca="false">IF(I198=0,0,J198/I198)</f>
        <v>1746.17</v>
      </c>
    </row>
    <row r="199" customFormat="false" ht="15" hidden="false" customHeight="false" outlineLevel="0" collapsed="false">
      <c r="A199" s="2" t="n">
        <v>198</v>
      </c>
      <c r="B199" s="3" t="s">
        <v>66</v>
      </c>
      <c r="C199" s="3" t="s">
        <v>65</v>
      </c>
      <c r="D199" s="3" t="s">
        <v>22</v>
      </c>
      <c r="E199" s="3" t="s">
        <v>25</v>
      </c>
      <c r="F199" s="3" t="s">
        <v>29</v>
      </c>
      <c r="G199" s="3" t="s">
        <v>21</v>
      </c>
      <c r="H199" s="2" t="n">
        <v>7</v>
      </c>
      <c r="I199" s="2" t="n">
        <v>0</v>
      </c>
      <c r="J199" s="4" t="n">
        <v>0</v>
      </c>
      <c r="K199" s="4" t="n">
        <v>0</v>
      </c>
      <c r="L199" s="5" t="n">
        <f aca="false">IF(H199=0,0,I199/H199)</f>
        <v>0</v>
      </c>
      <c r="M199" s="6" t="n">
        <f aca="false">IF(I199=0,0,J199/I199)</f>
        <v>0</v>
      </c>
    </row>
    <row r="200" customFormat="false" ht="15" hidden="false" customHeight="false" outlineLevel="0" collapsed="false">
      <c r="A200" s="2" t="n">
        <v>199</v>
      </c>
      <c r="B200" s="3" t="s">
        <v>66</v>
      </c>
      <c r="C200" s="3" t="s">
        <v>65</v>
      </c>
      <c r="D200" s="3" t="s">
        <v>15</v>
      </c>
      <c r="E200" s="3" t="s">
        <v>16</v>
      </c>
      <c r="F200" s="3" t="s">
        <v>20</v>
      </c>
      <c r="G200" s="3" t="s">
        <v>30</v>
      </c>
      <c r="H200" s="2" t="n">
        <v>10</v>
      </c>
      <c r="I200" s="2" t="n">
        <v>1</v>
      </c>
      <c r="J200" s="4" t="n">
        <v>246.88</v>
      </c>
      <c r="K200" s="4" t="n">
        <v>72.01</v>
      </c>
      <c r="L200" s="5" t="n">
        <f aca="false">IF(H200=0,0,I200/H200)</f>
        <v>0.1</v>
      </c>
      <c r="M200" s="6" t="n">
        <f aca="false">IF(I200=0,0,J200/I200)</f>
        <v>246.88</v>
      </c>
    </row>
    <row r="201" customFormat="false" ht="15" hidden="false" customHeight="false" outlineLevel="0" collapsed="false">
      <c r="A201" s="2" t="n">
        <v>200</v>
      </c>
      <c r="B201" s="3" t="s">
        <v>66</v>
      </c>
      <c r="C201" s="3" t="s">
        <v>65</v>
      </c>
      <c r="D201" s="3" t="s">
        <v>15</v>
      </c>
      <c r="E201" s="3" t="s">
        <v>33</v>
      </c>
      <c r="F201" s="3" t="s">
        <v>17</v>
      </c>
      <c r="G201" s="3" t="s">
        <v>31</v>
      </c>
      <c r="H201" s="2" t="n">
        <v>7</v>
      </c>
      <c r="I201" s="2" t="n">
        <v>0</v>
      </c>
      <c r="J201" s="4" t="n">
        <v>0</v>
      </c>
      <c r="K201" s="4" t="n">
        <v>0</v>
      </c>
      <c r="L201" s="5" t="n">
        <f aca="false">IF(H201=0,0,I201/H201)</f>
        <v>0</v>
      </c>
      <c r="M201" s="6" t="n">
        <f aca="false">IF(I201=0,0,J201/I201)</f>
        <v>0</v>
      </c>
    </row>
    <row r="202" customFormat="false" ht="15" hidden="false" customHeight="false" outlineLevel="0" collapsed="false">
      <c r="A202" s="2" t="n">
        <v>201</v>
      </c>
      <c r="B202" s="3" t="s">
        <v>66</v>
      </c>
      <c r="C202" s="3" t="s">
        <v>65</v>
      </c>
      <c r="D202" s="3" t="s">
        <v>19</v>
      </c>
      <c r="E202" s="3" t="s">
        <v>28</v>
      </c>
      <c r="F202" s="3" t="s">
        <v>29</v>
      </c>
      <c r="G202" s="3" t="s">
        <v>18</v>
      </c>
      <c r="H202" s="2" t="n">
        <v>13</v>
      </c>
      <c r="I202" s="2" t="n">
        <v>4</v>
      </c>
      <c r="J202" s="4" t="n">
        <v>4287.49</v>
      </c>
      <c r="K202" s="4" t="n">
        <v>585.07</v>
      </c>
      <c r="L202" s="5" t="n">
        <f aca="false">IF(H202=0,0,I202/H202)</f>
        <v>0.307692307692308</v>
      </c>
      <c r="M202" s="6" t="n">
        <f aca="false">IF(I202=0,0,J202/I202)</f>
        <v>1071.8725</v>
      </c>
    </row>
    <row r="203" customFormat="false" ht="15" hidden="false" customHeight="false" outlineLevel="0" collapsed="false">
      <c r="A203" s="2" t="n">
        <v>202</v>
      </c>
      <c r="B203" s="3" t="s">
        <v>67</v>
      </c>
      <c r="C203" s="3" t="s">
        <v>65</v>
      </c>
      <c r="D203" s="3" t="s">
        <v>27</v>
      </c>
      <c r="E203" s="3" t="s">
        <v>16</v>
      </c>
      <c r="F203" s="3" t="s">
        <v>23</v>
      </c>
      <c r="G203" s="3" t="s">
        <v>34</v>
      </c>
      <c r="H203" s="2" t="n">
        <v>7</v>
      </c>
      <c r="I203" s="2" t="n">
        <v>1</v>
      </c>
      <c r="J203" s="4" t="n">
        <v>1448.7</v>
      </c>
      <c r="K203" s="4" t="n">
        <v>279.49</v>
      </c>
      <c r="L203" s="5" t="n">
        <f aca="false">IF(H203=0,0,I203/H203)</f>
        <v>0.142857142857143</v>
      </c>
      <c r="M203" s="6" t="n">
        <f aca="false">IF(I203=0,0,J203/I203)</f>
        <v>1448.7</v>
      </c>
    </row>
    <row r="204" customFormat="false" ht="15" hidden="false" customHeight="false" outlineLevel="0" collapsed="false">
      <c r="A204" s="2" t="n">
        <v>203</v>
      </c>
      <c r="B204" s="3" t="s">
        <v>67</v>
      </c>
      <c r="C204" s="3" t="s">
        <v>65</v>
      </c>
      <c r="D204" s="3" t="s">
        <v>19</v>
      </c>
      <c r="E204" s="3" t="s">
        <v>33</v>
      </c>
      <c r="F204" s="3" t="s">
        <v>23</v>
      </c>
      <c r="G204" s="3" t="s">
        <v>26</v>
      </c>
      <c r="H204" s="2" t="n">
        <v>10</v>
      </c>
      <c r="I204" s="2" t="n">
        <v>2</v>
      </c>
      <c r="J204" s="4" t="n">
        <v>1606.85</v>
      </c>
      <c r="K204" s="4" t="n">
        <v>208.83</v>
      </c>
      <c r="L204" s="5" t="n">
        <f aca="false">IF(H204=0,0,I204/H204)</f>
        <v>0.2</v>
      </c>
      <c r="M204" s="6" t="n">
        <f aca="false">IF(I204=0,0,J204/I204)</f>
        <v>803.425</v>
      </c>
    </row>
    <row r="205" customFormat="false" ht="15" hidden="false" customHeight="false" outlineLevel="0" collapsed="false">
      <c r="A205" s="2" t="n">
        <v>204</v>
      </c>
      <c r="B205" s="3" t="s">
        <v>67</v>
      </c>
      <c r="C205" s="3" t="s">
        <v>65</v>
      </c>
      <c r="D205" s="3" t="s">
        <v>19</v>
      </c>
      <c r="E205" s="3" t="s">
        <v>25</v>
      </c>
      <c r="F205" s="3" t="s">
        <v>23</v>
      </c>
      <c r="G205" s="3" t="s">
        <v>18</v>
      </c>
      <c r="H205" s="2" t="n">
        <v>10</v>
      </c>
      <c r="I205" s="2" t="n">
        <v>4</v>
      </c>
      <c r="J205" s="4" t="n">
        <v>3714.32</v>
      </c>
      <c r="K205" s="4" t="n">
        <v>559.39</v>
      </c>
      <c r="L205" s="5" t="n">
        <f aca="false">IF(H205=0,0,I205/H205)</f>
        <v>0.4</v>
      </c>
      <c r="M205" s="6" t="n">
        <f aca="false">IF(I205=0,0,J205/I205)</f>
        <v>928.58</v>
      </c>
    </row>
    <row r="206" customFormat="false" ht="15" hidden="false" customHeight="false" outlineLevel="0" collapsed="false">
      <c r="A206" s="2" t="n">
        <v>205</v>
      </c>
      <c r="B206" s="3" t="s">
        <v>67</v>
      </c>
      <c r="C206" s="3" t="s">
        <v>65</v>
      </c>
      <c r="D206" s="3" t="s">
        <v>22</v>
      </c>
      <c r="E206" s="3" t="s">
        <v>28</v>
      </c>
      <c r="F206" s="3" t="s">
        <v>23</v>
      </c>
      <c r="G206" s="3" t="s">
        <v>18</v>
      </c>
      <c r="H206" s="2" t="n">
        <v>9</v>
      </c>
      <c r="I206" s="2" t="n">
        <v>0</v>
      </c>
      <c r="J206" s="4" t="n">
        <v>0</v>
      </c>
      <c r="K206" s="4" t="n">
        <v>0</v>
      </c>
      <c r="L206" s="5" t="n">
        <f aca="false">IF(H206=0,0,I206/H206)</f>
        <v>0</v>
      </c>
      <c r="M206" s="6" t="n">
        <f aca="false">IF(I206=0,0,J206/I206)</f>
        <v>0</v>
      </c>
    </row>
    <row r="207" customFormat="false" ht="15" hidden="false" customHeight="false" outlineLevel="0" collapsed="false">
      <c r="A207" s="2" t="n">
        <v>206</v>
      </c>
      <c r="B207" s="3" t="s">
        <v>67</v>
      </c>
      <c r="C207" s="3" t="s">
        <v>65</v>
      </c>
      <c r="D207" s="3" t="s">
        <v>22</v>
      </c>
      <c r="E207" s="3" t="s">
        <v>25</v>
      </c>
      <c r="F207" s="3" t="s">
        <v>17</v>
      </c>
      <c r="G207" s="3" t="s">
        <v>34</v>
      </c>
      <c r="H207" s="2" t="n">
        <v>6</v>
      </c>
      <c r="I207" s="2" t="n">
        <v>1</v>
      </c>
      <c r="J207" s="4" t="n">
        <v>113.45</v>
      </c>
      <c r="K207" s="4" t="n">
        <v>48.98</v>
      </c>
      <c r="L207" s="5" t="n">
        <f aca="false">IF(H207=0,0,I207/H207)</f>
        <v>0.166666666666667</v>
      </c>
      <c r="M207" s="6" t="n">
        <f aca="false">IF(I207=0,0,J207/I207)</f>
        <v>113.45</v>
      </c>
    </row>
    <row r="208" customFormat="false" ht="15" hidden="false" customHeight="false" outlineLevel="0" collapsed="false">
      <c r="A208" s="2" t="n">
        <v>207</v>
      </c>
      <c r="B208" s="3" t="s">
        <v>67</v>
      </c>
      <c r="C208" s="3" t="s">
        <v>65</v>
      </c>
      <c r="D208" s="3" t="s">
        <v>19</v>
      </c>
      <c r="E208" s="3" t="s">
        <v>16</v>
      </c>
      <c r="F208" s="3" t="s">
        <v>29</v>
      </c>
      <c r="G208" s="3" t="s">
        <v>21</v>
      </c>
      <c r="H208" s="2" t="n">
        <v>6</v>
      </c>
      <c r="I208" s="2" t="n">
        <v>0</v>
      </c>
      <c r="J208" s="4" t="n">
        <v>0</v>
      </c>
      <c r="K208" s="4" t="n">
        <v>0</v>
      </c>
      <c r="L208" s="5" t="n">
        <f aca="false">IF(H208=0,0,I208/H208)</f>
        <v>0</v>
      </c>
      <c r="M208" s="6" t="n">
        <f aca="false">IF(I208=0,0,J208/I208)</f>
        <v>0</v>
      </c>
    </row>
    <row r="209" customFormat="false" ht="15" hidden="false" customHeight="false" outlineLevel="0" collapsed="false">
      <c r="A209" s="2" t="n">
        <v>208</v>
      </c>
      <c r="B209" s="3" t="s">
        <v>67</v>
      </c>
      <c r="C209" s="3" t="s">
        <v>65</v>
      </c>
      <c r="D209" s="3" t="s">
        <v>19</v>
      </c>
      <c r="E209" s="3" t="s">
        <v>25</v>
      </c>
      <c r="F209" s="3" t="s">
        <v>23</v>
      </c>
      <c r="G209" s="3" t="s">
        <v>30</v>
      </c>
      <c r="H209" s="2" t="n">
        <v>7</v>
      </c>
      <c r="I209" s="2" t="n">
        <v>1</v>
      </c>
      <c r="J209" s="4" t="n">
        <v>1101.15</v>
      </c>
      <c r="K209" s="4" t="n">
        <v>158.21</v>
      </c>
      <c r="L209" s="5" t="n">
        <f aca="false">IF(H209=0,0,I209/H209)</f>
        <v>0.142857142857143</v>
      </c>
      <c r="M209" s="6" t="n">
        <f aca="false">IF(I209=0,0,J209/I209)</f>
        <v>1101.15</v>
      </c>
    </row>
    <row r="210" customFormat="false" ht="15" hidden="false" customHeight="false" outlineLevel="0" collapsed="false">
      <c r="A210" s="2" t="n">
        <v>209</v>
      </c>
      <c r="B210" s="3" t="s">
        <v>67</v>
      </c>
      <c r="C210" s="3" t="s">
        <v>65</v>
      </c>
      <c r="D210" s="3" t="s">
        <v>19</v>
      </c>
      <c r="E210" s="3" t="s">
        <v>16</v>
      </c>
      <c r="F210" s="3" t="s">
        <v>23</v>
      </c>
      <c r="G210" s="3" t="s">
        <v>31</v>
      </c>
      <c r="H210" s="2" t="n">
        <v>10</v>
      </c>
      <c r="I210" s="2" t="n">
        <v>1</v>
      </c>
      <c r="J210" s="4" t="n">
        <v>849.74</v>
      </c>
      <c r="K210" s="4" t="n">
        <v>123.96</v>
      </c>
      <c r="L210" s="5" t="n">
        <f aca="false">IF(H210=0,0,I210/H210)</f>
        <v>0.1</v>
      </c>
      <c r="M210" s="6" t="n">
        <f aca="false">IF(I210=0,0,J210/I210)</f>
        <v>849.74</v>
      </c>
    </row>
    <row r="211" customFormat="false" ht="15" hidden="false" customHeight="false" outlineLevel="0" collapsed="false">
      <c r="A211" s="2" t="n">
        <v>210</v>
      </c>
      <c r="B211" s="3" t="s">
        <v>67</v>
      </c>
      <c r="C211" s="3" t="s">
        <v>65</v>
      </c>
      <c r="D211" s="3" t="s">
        <v>19</v>
      </c>
      <c r="E211" s="3" t="s">
        <v>16</v>
      </c>
      <c r="F211" s="3" t="s">
        <v>17</v>
      </c>
      <c r="G211" s="3" t="s">
        <v>31</v>
      </c>
      <c r="H211" s="2" t="n">
        <v>10</v>
      </c>
      <c r="I211" s="2" t="n">
        <v>3</v>
      </c>
      <c r="J211" s="4" t="n">
        <v>2600.8</v>
      </c>
      <c r="K211" s="4" t="n">
        <v>358.67</v>
      </c>
      <c r="L211" s="5" t="n">
        <f aca="false">IF(H211=0,0,I211/H211)</f>
        <v>0.3</v>
      </c>
      <c r="M211" s="6" t="n">
        <f aca="false">IF(I211=0,0,J211/I211)</f>
        <v>866.933333333333</v>
      </c>
    </row>
    <row r="212" customFormat="false" ht="15" hidden="false" customHeight="false" outlineLevel="0" collapsed="false">
      <c r="A212" s="2" t="n">
        <v>211</v>
      </c>
      <c r="B212" s="3" t="s">
        <v>67</v>
      </c>
      <c r="C212" s="3" t="s">
        <v>65</v>
      </c>
      <c r="D212" s="3" t="s">
        <v>27</v>
      </c>
      <c r="E212" s="3" t="s">
        <v>25</v>
      </c>
      <c r="F212" s="3" t="s">
        <v>20</v>
      </c>
      <c r="G212" s="3" t="s">
        <v>30</v>
      </c>
      <c r="H212" s="2" t="n">
        <v>7</v>
      </c>
      <c r="I212" s="2" t="n">
        <v>1</v>
      </c>
      <c r="J212" s="4" t="n">
        <v>1263.35</v>
      </c>
      <c r="K212" s="4" t="n">
        <v>217.15</v>
      </c>
      <c r="L212" s="5" t="n">
        <f aca="false">IF(H212=0,0,I212/H212)</f>
        <v>0.142857142857143</v>
      </c>
      <c r="M212" s="6" t="n">
        <f aca="false">IF(I212=0,0,J212/I212)</f>
        <v>1263.35</v>
      </c>
    </row>
    <row r="213" customFormat="false" ht="15" hidden="false" customHeight="false" outlineLevel="0" collapsed="false">
      <c r="A213" s="2" t="n">
        <v>212</v>
      </c>
      <c r="B213" s="3" t="s">
        <v>67</v>
      </c>
      <c r="C213" s="3" t="s">
        <v>65</v>
      </c>
      <c r="D213" s="3" t="s">
        <v>15</v>
      </c>
      <c r="E213" s="3" t="s">
        <v>16</v>
      </c>
      <c r="F213" s="3" t="s">
        <v>23</v>
      </c>
      <c r="G213" s="3" t="s">
        <v>31</v>
      </c>
      <c r="H213" s="2" t="n">
        <v>4</v>
      </c>
      <c r="I213" s="2" t="n">
        <v>1</v>
      </c>
      <c r="J213" s="4" t="n">
        <v>163.35</v>
      </c>
      <c r="K213" s="4" t="n">
        <v>47.39</v>
      </c>
      <c r="L213" s="5" t="n">
        <f aca="false">IF(H213=0,0,I213/H213)</f>
        <v>0.25</v>
      </c>
      <c r="M213" s="6" t="n">
        <f aca="false">IF(I213=0,0,J213/I213)</f>
        <v>163.35</v>
      </c>
    </row>
    <row r="214" customFormat="false" ht="15" hidden="false" customHeight="false" outlineLevel="0" collapsed="false">
      <c r="A214" s="2" t="n">
        <v>213</v>
      </c>
      <c r="B214" s="3" t="s">
        <v>67</v>
      </c>
      <c r="C214" s="3" t="s">
        <v>65</v>
      </c>
      <c r="D214" s="3" t="s">
        <v>19</v>
      </c>
      <c r="E214" s="3" t="s">
        <v>28</v>
      </c>
      <c r="F214" s="3" t="s">
        <v>17</v>
      </c>
      <c r="G214" s="3" t="s">
        <v>26</v>
      </c>
      <c r="H214" s="2" t="n">
        <v>10</v>
      </c>
      <c r="I214" s="2" t="n">
        <v>3</v>
      </c>
      <c r="J214" s="4" t="n">
        <v>2151.92</v>
      </c>
      <c r="K214" s="4" t="n">
        <v>278.64</v>
      </c>
      <c r="L214" s="5" t="n">
        <f aca="false">IF(H214=0,0,I214/H214)</f>
        <v>0.3</v>
      </c>
      <c r="M214" s="6" t="n">
        <f aca="false">IF(I214=0,0,J214/I214)</f>
        <v>717.306666666667</v>
      </c>
    </row>
    <row r="215" customFormat="false" ht="15" hidden="false" customHeight="false" outlineLevel="0" collapsed="false">
      <c r="A215" s="2" t="n">
        <v>214</v>
      </c>
      <c r="B215" s="3" t="s">
        <v>68</v>
      </c>
      <c r="C215" s="3" t="s">
        <v>65</v>
      </c>
      <c r="D215" s="3" t="s">
        <v>24</v>
      </c>
      <c r="E215" s="3" t="s">
        <v>25</v>
      </c>
      <c r="F215" s="3" t="s">
        <v>29</v>
      </c>
      <c r="G215" s="3" t="s">
        <v>34</v>
      </c>
      <c r="H215" s="2" t="n">
        <v>10</v>
      </c>
      <c r="I215" s="2" t="n">
        <v>0</v>
      </c>
      <c r="J215" s="4" t="n">
        <v>0</v>
      </c>
      <c r="K215" s="4" t="n">
        <v>0</v>
      </c>
      <c r="L215" s="5" t="n">
        <f aca="false">IF(H215=0,0,I215/H215)</f>
        <v>0</v>
      </c>
      <c r="M215" s="6" t="n">
        <f aca="false">IF(I215=0,0,J215/I215)</f>
        <v>0</v>
      </c>
    </row>
    <row r="216" customFormat="false" ht="15" hidden="false" customHeight="false" outlineLevel="0" collapsed="false">
      <c r="A216" s="2" t="n">
        <v>215</v>
      </c>
      <c r="B216" s="3" t="s">
        <v>68</v>
      </c>
      <c r="C216" s="3" t="s">
        <v>65</v>
      </c>
      <c r="D216" s="3" t="s">
        <v>19</v>
      </c>
      <c r="E216" s="3" t="s">
        <v>25</v>
      </c>
      <c r="F216" s="3" t="s">
        <v>17</v>
      </c>
      <c r="G216" s="3" t="s">
        <v>30</v>
      </c>
      <c r="H216" s="2" t="n">
        <v>6</v>
      </c>
      <c r="I216" s="2" t="n">
        <v>1</v>
      </c>
      <c r="J216" s="4" t="n">
        <v>774.84</v>
      </c>
      <c r="K216" s="4" t="n">
        <v>100.52</v>
      </c>
      <c r="L216" s="5" t="n">
        <f aca="false">IF(H216=0,0,I216/H216)</f>
        <v>0.166666666666667</v>
      </c>
      <c r="M216" s="6" t="n">
        <f aca="false">IF(I216=0,0,J216/I216)</f>
        <v>774.84</v>
      </c>
    </row>
    <row r="217" customFormat="false" ht="15" hidden="false" customHeight="false" outlineLevel="0" collapsed="false">
      <c r="A217" s="2" t="n">
        <v>216</v>
      </c>
      <c r="B217" s="3" t="s">
        <v>68</v>
      </c>
      <c r="C217" s="3" t="s">
        <v>65</v>
      </c>
      <c r="D217" s="3" t="s">
        <v>24</v>
      </c>
      <c r="E217" s="3" t="s">
        <v>25</v>
      </c>
      <c r="F217" s="3" t="s">
        <v>20</v>
      </c>
      <c r="G217" s="3" t="s">
        <v>30</v>
      </c>
      <c r="H217" s="2" t="n">
        <v>10</v>
      </c>
      <c r="I217" s="2" t="n">
        <v>3</v>
      </c>
      <c r="J217" s="4" t="n">
        <v>758.5</v>
      </c>
      <c r="K217" s="4" t="n">
        <v>178.77</v>
      </c>
      <c r="L217" s="5" t="n">
        <f aca="false">IF(H217=0,0,I217/H217)</f>
        <v>0.3</v>
      </c>
      <c r="M217" s="6" t="n">
        <f aca="false">IF(I217=0,0,J217/I217)</f>
        <v>252.833333333333</v>
      </c>
    </row>
    <row r="218" customFormat="false" ht="15" hidden="false" customHeight="false" outlineLevel="0" collapsed="false">
      <c r="A218" s="2" t="n">
        <v>217</v>
      </c>
      <c r="B218" s="3" t="s">
        <v>68</v>
      </c>
      <c r="C218" s="3" t="s">
        <v>65</v>
      </c>
      <c r="D218" s="3" t="s">
        <v>22</v>
      </c>
      <c r="E218" s="3" t="s">
        <v>28</v>
      </c>
      <c r="F218" s="3" t="s">
        <v>23</v>
      </c>
      <c r="G218" s="3" t="s">
        <v>34</v>
      </c>
      <c r="H218" s="2" t="n">
        <v>4</v>
      </c>
      <c r="I218" s="2" t="n">
        <v>0</v>
      </c>
      <c r="J218" s="4" t="n">
        <v>0</v>
      </c>
      <c r="K218" s="4" t="n">
        <v>0</v>
      </c>
      <c r="L218" s="5" t="n">
        <f aca="false">IF(H218=0,0,I218/H218)</f>
        <v>0</v>
      </c>
      <c r="M218" s="6" t="n">
        <f aca="false">IF(I218=0,0,J218/I218)</f>
        <v>0</v>
      </c>
    </row>
    <row r="219" customFormat="false" ht="15" hidden="false" customHeight="false" outlineLevel="0" collapsed="false">
      <c r="A219" s="2" t="n">
        <v>218</v>
      </c>
      <c r="B219" s="3" t="s">
        <v>68</v>
      </c>
      <c r="C219" s="3" t="s">
        <v>65</v>
      </c>
      <c r="D219" s="3" t="s">
        <v>27</v>
      </c>
      <c r="E219" s="3" t="s">
        <v>25</v>
      </c>
      <c r="F219" s="3" t="s">
        <v>23</v>
      </c>
      <c r="G219" s="3" t="s">
        <v>21</v>
      </c>
      <c r="H219" s="2" t="n">
        <v>5</v>
      </c>
      <c r="I219" s="2" t="n">
        <v>0</v>
      </c>
      <c r="J219" s="4" t="n">
        <v>0</v>
      </c>
      <c r="K219" s="4" t="n">
        <v>0</v>
      </c>
      <c r="L219" s="5" t="n">
        <f aca="false">IF(H219=0,0,I219/H219)</f>
        <v>0</v>
      </c>
      <c r="M219" s="6" t="n">
        <f aca="false">IF(I219=0,0,J219/I219)</f>
        <v>0</v>
      </c>
    </row>
    <row r="220" customFormat="false" ht="15" hidden="false" customHeight="false" outlineLevel="0" collapsed="false">
      <c r="A220" s="2" t="n">
        <v>219</v>
      </c>
      <c r="B220" s="3" t="s">
        <v>68</v>
      </c>
      <c r="C220" s="3" t="s">
        <v>65</v>
      </c>
      <c r="D220" s="3" t="s">
        <v>22</v>
      </c>
      <c r="E220" s="3" t="s">
        <v>28</v>
      </c>
      <c r="F220" s="3" t="s">
        <v>23</v>
      </c>
      <c r="G220" s="3" t="s">
        <v>21</v>
      </c>
      <c r="H220" s="2" t="n">
        <v>6</v>
      </c>
      <c r="I220" s="2" t="n">
        <v>4</v>
      </c>
      <c r="J220" s="4" t="n">
        <v>519.4</v>
      </c>
      <c r="K220" s="4" t="n">
        <v>230.82</v>
      </c>
      <c r="L220" s="5" t="n">
        <f aca="false">IF(H220=0,0,I220/H220)</f>
        <v>0.666666666666667</v>
      </c>
      <c r="M220" s="6" t="n">
        <f aca="false">IF(I220=0,0,J220/I220)</f>
        <v>129.85</v>
      </c>
    </row>
    <row r="221" customFormat="false" ht="15" hidden="false" customHeight="false" outlineLevel="0" collapsed="false">
      <c r="A221" s="2" t="n">
        <v>220</v>
      </c>
      <c r="B221" s="3" t="s">
        <v>68</v>
      </c>
      <c r="C221" s="3" t="s">
        <v>65</v>
      </c>
      <c r="D221" s="3" t="s">
        <v>15</v>
      </c>
      <c r="E221" s="3" t="s">
        <v>16</v>
      </c>
      <c r="F221" s="3" t="s">
        <v>23</v>
      </c>
      <c r="G221" s="3" t="s">
        <v>18</v>
      </c>
      <c r="H221" s="2" t="n">
        <v>5</v>
      </c>
      <c r="I221" s="2" t="n">
        <v>1</v>
      </c>
      <c r="J221" s="4" t="n">
        <v>236.8</v>
      </c>
      <c r="K221" s="4" t="n">
        <v>69.27</v>
      </c>
      <c r="L221" s="5" t="n">
        <f aca="false">IF(H221=0,0,I221/H221)</f>
        <v>0.2</v>
      </c>
      <c r="M221" s="6" t="n">
        <f aca="false">IF(I221=0,0,J221/I221)</f>
        <v>236.8</v>
      </c>
    </row>
    <row r="222" customFormat="false" ht="15" hidden="false" customHeight="false" outlineLevel="0" collapsed="false">
      <c r="A222" s="2" t="n">
        <v>221</v>
      </c>
      <c r="B222" s="3" t="s">
        <v>68</v>
      </c>
      <c r="C222" s="3" t="s">
        <v>65</v>
      </c>
      <c r="D222" s="3" t="s">
        <v>15</v>
      </c>
      <c r="E222" s="3" t="s">
        <v>25</v>
      </c>
      <c r="F222" s="3" t="s">
        <v>17</v>
      </c>
      <c r="G222" s="3" t="s">
        <v>18</v>
      </c>
      <c r="H222" s="2" t="n">
        <v>8</v>
      </c>
      <c r="I222" s="2" t="n">
        <v>0</v>
      </c>
      <c r="J222" s="4" t="n">
        <v>0</v>
      </c>
      <c r="K222" s="4" t="n">
        <v>0</v>
      </c>
      <c r="L222" s="5" t="n">
        <f aca="false">IF(H222=0,0,I222/H222)</f>
        <v>0</v>
      </c>
      <c r="M222" s="6" t="n">
        <f aca="false">IF(I222=0,0,J222/I222)</f>
        <v>0</v>
      </c>
    </row>
    <row r="223" customFormat="false" ht="15" hidden="false" customHeight="false" outlineLevel="0" collapsed="false">
      <c r="A223" s="2" t="n">
        <v>222</v>
      </c>
      <c r="B223" s="3" t="s">
        <v>69</v>
      </c>
      <c r="C223" s="3" t="s">
        <v>65</v>
      </c>
      <c r="D223" s="3" t="s">
        <v>15</v>
      </c>
      <c r="E223" s="3" t="s">
        <v>16</v>
      </c>
      <c r="F223" s="3" t="s">
        <v>23</v>
      </c>
      <c r="G223" s="3" t="s">
        <v>18</v>
      </c>
      <c r="H223" s="2" t="n">
        <v>8</v>
      </c>
      <c r="I223" s="2" t="n">
        <v>3</v>
      </c>
      <c r="J223" s="4" t="n">
        <v>676.4</v>
      </c>
      <c r="K223" s="4" t="n">
        <v>191.83</v>
      </c>
      <c r="L223" s="5" t="n">
        <f aca="false">IF(H223=0,0,I223/H223)</f>
        <v>0.375</v>
      </c>
      <c r="M223" s="6" t="n">
        <f aca="false">IF(I223=0,0,J223/I223)</f>
        <v>225.466666666667</v>
      </c>
    </row>
    <row r="224" customFormat="false" ht="15" hidden="false" customHeight="false" outlineLevel="0" collapsed="false">
      <c r="A224" s="2" t="n">
        <v>223</v>
      </c>
      <c r="B224" s="3" t="s">
        <v>69</v>
      </c>
      <c r="C224" s="3" t="s">
        <v>65</v>
      </c>
      <c r="D224" s="3" t="s">
        <v>19</v>
      </c>
      <c r="E224" s="3" t="s">
        <v>25</v>
      </c>
      <c r="F224" s="3" t="s">
        <v>23</v>
      </c>
      <c r="G224" s="3" t="s">
        <v>30</v>
      </c>
      <c r="H224" s="2" t="n">
        <v>10</v>
      </c>
      <c r="I224" s="2" t="n">
        <v>4</v>
      </c>
      <c r="J224" s="4" t="n">
        <v>3828.83</v>
      </c>
      <c r="K224" s="4" t="n">
        <v>538.74</v>
      </c>
      <c r="L224" s="5" t="n">
        <f aca="false">IF(H224=0,0,I224/H224)</f>
        <v>0.4</v>
      </c>
      <c r="M224" s="6" t="n">
        <f aca="false">IF(I224=0,0,J224/I224)</f>
        <v>957.2075</v>
      </c>
    </row>
    <row r="225" customFormat="false" ht="15" hidden="false" customHeight="false" outlineLevel="0" collapsed="false">
      <c r="A225" s="2" t="n">
        <v>224</v>
      </c>
      <c r="B225" s="3" t="s">
        <v>69</v>
      </c>
      <c r="C225" s="3" t="s">
        <v>65</v>
      </c>
      <c r="D225" s="3" t="s">
        <v>19</v>
      </c>
      <c r="E225" s="3" t="s">
        <v>25</v>
      </c>
      <c r="F225" s="3" t="s">
        <v>23</v>
      </c>
      <c r="G225" s="3" t="s">
        <v>30</v>
      </c>
      <c r="H225" s="2" t="n">
        <v>8</v>
      </c>
      <c r="I225" s="2" t="n">
        <v>2</v>
      </c>
      <c r="J225" s="4" t="n">
        <v>1881.1</v>
      </c>
      <c r="K225" s="4" t="n">
        <v>252.04</v>
      </c>
      <c r="L225" s="5" t="n">
        <f aca="false">IF(H225=0,0,I225/H225)</f>
        <v>0.25</v>
      </c>
      <c r="M225" s="6" t="n">
        <f aca="false">IF(I225=0,0,J225/I225)</f>
        <v>940.55</v>
      </c>
    </row>
    <row r="226" customFormat="false" ht="15" hidden="false" customHeight="false" outlineLevel="0" collapsed="false">
      <c r="A226" s="2" t="n">
        <v>225</v>
      </c>
      <c r="B226" s="3" t="s">
        <v>69</v>
      </c>
      <c r="C226" s="3" t="s">
        <v>65</v>
      </c>
      <c r="D226" s="3" t="s">
        <v>24</v>
      </c>
      <c r="E226" s="3" t="s">
        <v>28</v>
      </c>
      <c r="F226" s="3" t="s">
        <v>23</v>
      </c>
      <c r="G226" s="3" t="s">
        <v>31</v>
      </c>
      <c r="H226" s="2" t="n">
        <v>9</v>
      </c>
      <c r="I226" s="2" t="n">
        <v>0</v>
      </c>
      <c r="J226" s="4" t="n">
        <v>0</v>
      </c>
      <c r="K226" s="4" t="n">
        <v>0</v>
      </c>
      <c r="L226" s="5" t="n">
        <f aca="false">IF(H226=0,0,I226/H226)</f>
        <v>0</v>
      </c>
      <c r="M226" s="6" t="n">
        <f aca="false">IF(I226=0,0,J226/I226)</f>
        <v>0</v>
      </c>
    </row>
    <row r="227" customFormat="false" ht="15" hidden="false" customHeight="false" outlineLevel="0" collapsed="false">
      <c r="A227" s="2" t="n">
        <v>226</v>
      </c>
      <c r="B227" s="3" t="s">
        <v>69</v>
      </c>
      <c r="C227" s="3" t="s">
        <v>65</v>
      </c>
      <c r="D227" s="3" t="s">
        <v>19</v>
      </c>
      <c r="E227" s="3" t="s">
        <v>25</v>
      </c>
      <c r="F227" s="3" t="s">
        <v>29</v>
      </c>
      <c r="G227" s="3" t="s">
        <v>26</v>
      </c>
      <c r="H227" s="2" t="n">
        <v>14</v>
      </c>
      <c r="I227" s="2" t="n">
        <v>4</v>
      </c>
      <c r="J227" s="4" t="n">
        <v>2823.84</v>
      </c>
      <c r="K227" s="4" t="n">
        <v>416.4</v>
      </c>
      <c r="L227" s="5" t="n">
        <f aca="false">IF(H227=0,0,I227/H227)</f>
        <v>0.285714285714286</v>
      </c>
      <c r="M227" s="6" t="n">
        <f aca="false">IF(I227=0,0,J227/I227)</f>
        <v>705.96</v>
      </c>
    </row>
    <row r="228" customFormat="false" ht="15" hidden="false" customHeight="false" outlineLevel="0" collapsed="false">
      <c r="A228" s="2" t="n">
        <v>227</v>
      </c>
      <c r="B228" s="3" t="s">
        <v>69</v>
      </c>
      <c r="C228" s="3" t="s">
        <v>65</v>
      </c>
      <c r="D228" s="3" t="s">
        <v>24</v>
      </c>
      <c r="E228" s="3" t="s">
        <v>28</v>
      </c>
      <c r="F228" s="3" t="s">
        <v>23</v>
      </c>
      <c r="G228" s="3" t="s">
        <v>18</v>
      </c>
      <c r="H228" s="2" t="n">
        <v>8</v>
      </c>
      <c r="I228" s="2" t="n">
        <v>3</v>
      </c>
      <c r="J228" s="4" t="n">
        <v>959.33</v>
      </c>
      <c r="K228" s="4" t="n">
        <v>247.38</v>
      </c>
      <c r="L228" s="5" t="n">
        <f aca="false">IF(H228=0,0,I228/H228)</f>
        <v>0.375</v>
      </c>
      <c r="M228" s="6" t="n">
        <f aca="false">IF(I228=0,0,J228/I228)</f>
        <v>319.776666666667</v>
      </c>
    </row>
    <row r="229" customFormat="false" ht="15" hidden="false" customHeight="false" outlineLevel="0" collapsed="false">
      <c r="A229" s="2" t="n">
        <v>228</v>
      </c>
      <c r="B229" s="3" t="s">
        <v>69</v>
      </c>
      <c r="C229" s="3" t="s">
        <v>65</v>
      </c>
      <c r="D229" s="3" t="s">
        <v>22</v>
      </c>
      <c r="E229" s="3" t="s">
        <v>16</v>
      </c>
      <c r="F229" s="3" t="s">
        <v>23</v>
      </c>
      <c r="G229" s="3" t="s">
        <v>30</v>
      </c>
      <c r="H229" s="2" t="n">
        <v>8</v>
      </c>
      <c r="I229" s="2" t="n">
        <v>2</v>
      </c>
      <c r="J229" s="4" t="n">
        <v>220.19</v>
      </c>
      <c r="K229" s="4" t="n">
        <v>88.01</v>
      </c>
      <c r="L229" s="5" t="n">
        <f aca="false">IF(H229=0,0,I229/H229)</f>
        <v>0.25</v>
      </c>
      <c r="M229" s="6" t="n">
        <f aca="false">IF(I229=0,0,J229/I229)</f>
        <v>110.095</v>
      </c>
    </row>
    <row r="230" customFormat="false" ht="15" hidden="false" customHeight="false" outlineLevel="0" collapsed="false">
      <c r="A230" s="2" t="n">
        <v>229</v>
      </c>
      <c r="B230" s="3" t="s">
        <v>69</v>
      </c>
      <c r="C230" s="3" t="s">
        <v>65</v>
      </c>
      <c r="D230" s="3" t="s">
        <v>19</v>
      </c>
      <c r="E230" s="3" t="s">
        <v>28</v>
      </c>
      <c r="F230" s="3" t="s">
        <v>23</v>
      </c>
      <c r="G230" s="3" t="s">
        <v>18</v>
      </c>
      <c r="H230" s="2" t="n">
        <v>6</v>
      </c>
      <c r="I230" s="2" t="n">
        <v>1</v>
      </c>
      <c r="J230" s="4" t="n">
        <v>684.36</v>
      </c>
      <c r="K230" s="4" t="n">
        <v>88.4</v>
      </c>
      <c r="L230" s="5" t="n">
        <f aca="false">IF(H230=0,0,I230/H230)</f>
        <v>0.166666666666667</v>
      </c>
      <c r="M230" s="6" t="n">
        <f aca="false">IF(I230=0,0,J230/I230)</f>
        <v>684.36</v>
      </c>
    </row>
    <row r="231" customFormat="false" ht="15" hidden="false" customHeight="false" outlineLevel="0" collapsed="false">
      <c r="A231" s="2" t="n">
        <v>230</v>
      </c>
      <c r="B231" s="3" t="s">
        <v>69</v>
      </c>
      <c r="C231" s="3" t="s">
        <v>65</v>
      </c>
      <c r="D231" s="3" t="s">
        <v>24</v>
      </c>
      <c r="E231" s="3" t="s">
        <v>25</v>
      </c>
      <c r="F231" s="3" t="s">
        <v>23</v>
      </c>
      <c r="G231" s="3" t="s">
        <v>26</v>
      </c>
      <c r="H231" s="2" t="n">
        <v>6</v>
      </c>
      <c r="I231" s="2" t="n">
        <v>3</v>
      </c>
      <c r="J231" s="4" t="n">
        <v>728.73</v>
      </c>
      <c r="K231" s="4" t="n">
        <v>179.85</v>
      </c>
      <c r="L231" s="5" t="n">
        <f aca="false">IF(H231=0,0,I231/H231)</f>
        <v>0.5</v>
      </c>
      <c r="M231" s="6" t="n">
        <f aca="false">IF(I231=0,0,J231/I231)</f>
        <v>242.91</v>
      </c>
    </row>
    <row r="232" customFormat="false" ht="15" hidden="false" customHeight="false" outlineLevel="0" collapsed="false">
      <c r="A232" s="2" t="n">
        <v>231</v>
      </c>
      <c r="B232" s="3" t="s">
        <v>69</v>
      </c>
      <c r="C232" s="3" t="s">
        <v>65</v>
      </c>
      <c r="D232" s="3" t="s">
        <v>19</v>
      </c>
      <c r="E232" s="3" t="s">
        <v>28</v>
      </c>
      <c r="F232" s="3" t="s">
        <v>29</v>
      </c>
      <c r="G232" s="3" t="s">
        <v>30</v>
      </c>
      <c r="H232" s="2" t="n">
        <v>5</v>
      </c>
      <c r="I232" s="2" t="n">
        <v>0</v>
      </c>
      <c r="J232" s="4" t="n">
        <v>0</v>
      </c>
      <c r="K232" s="4" t="n">
        <v>0</v>
      </c>
      <c r="L232" s="5" t="n">
        <f aca="false">IF(H232=0,0,I232/H232)</f>
        <v>0</v>
      </c>
      <c r="M232" s="6" t="n">
        <f aca="false">IF(I232=0,0,J232/I232)</f>
        <v>0</v>
      </c>
    </row>
    <row r="233" customFormat="false" ht="15" hidden="false" customHeight="false" outlineLevel="0" collapsed="false">
      <c r="A233" s="2" t="n">
        <v>232</v>
      </c>
      <c r="B233" s="3" t="s">
        <v>69</v>
      </c>
      <c r="C233" s="3" t="s">
        <v>65</v>
      </c>
      <c r="D233" s="3" t="s">
        <v>15</v>
      </c>
      <c r="E233" s="3" t="s">
        <v>16</v>
      </c>
      <c r="F233" s="3" t="s">
        <v>23</v>
      </c>
      <c r="G233" s="3" t="s">
        <v>18</v>
      </c>
      <c r="H233" s="2" t="n">
        <v>8</v>
      </c>
      <c r="I233" s="2" t="n">
        <v>3</v>
      </c>
      <c r="J233" s="4" t="n">
        <v>453.69</v>
      </c>
      <c r="K233" s="4" t="n">
        <v>129.82</v>
      </c>
      <c r="L233" s="5" t="n">
        <f aca="false">IF(H233=0,0,I233/H233)</f>
        <v>0.375</v>
      </c>
      <c r="M233" s="6" t="n">
        <f aca="false">IF(I233=0,0,J233/I233)</f>
        <v>151.23</v>
      </c>
    </row>
    <row r="234" customFormat="false" ht="15" hidden="false" customHeight="false" outlineLevel="0" collapsed="false">
      <c r="A234" s="2" t="n">
        <v>233</v>
      </c>
      <c r="B234" s="3" t="s">
        <v>69</v>
      </c>
      <c r="C234" s="3" t="s">
        <v>65</v>
      </c>
      <c r="D234" s="3" t="s">
        <v>15</v>
      </c>
      <c r="E234" s="3" t="s">
        <v>16</v>
      </c>
      <c r="F234" s="3" t="s">
        <v>23</v>
      </c>
      <c r="G234" s="3" t="s">
        <v>31</v>
      </c>
      <c r="H234" s="2" t="n">
        <v>8</v>
      </c>
      <c r="I234" s="2" t="n">
        <v>1</v>
      </c>
      <c r="J234" s="4" t="n">
        <v>185.11</v>
      </c>
      <c r="K234" s="4" t="n">
        <v>52.21</v>
      </c>
      <c r="L234" s="5" t="n">
        <f aca="false">IF(H234=0,0,I234/H234)</f>
        <v>0.125</v>
      </c>
      <c r="M234" s="6" t="n">
        <f aca="false">IF(I234=0,0,J234/I234)</f>
        <v>185.11</v>
      </c>
    </row>
    <row r="235" customFormat="false" ht="15" hidden="false" customHeight="false" outlineLevel="0" collapsed="false">
      <c r="A235" s="2" t="n">
        <v>234</v>
      </c>
      <c r="B235" s="3" t="s">
        <v>69</v>
      </c>
      <c r="C235" s="3" t="s">
        <v>65</v>
      </c>
      <c r="D235" s="3" t="s">
        <v>19</v>
      </c>
      <c r="E235" s="3" t="s">
        <v>33</v>
      </c>
      <c r="F235" s="3" t="s">
        <v>20</v>
      </c>
      <c r="G235" s="3" t="s">
        <v>26</v>
      </c>
      <c r="H235" s="2" t="n">
        <v>7</v>
      </c>
      <c r="I235" s="2" t="n">
        <v>1</v>
      </c>
      <c r="J235" s="4" t="n">
        <v>951.84</v>
      </c>
      <c r="K235" s="4" t="n">
        <v>140.21</v>
      </c>
      <c r="L235" s="5" t="n">
        <f aca="false">IF(H235=0,0,I235/H235)</f>
        <v>0.142857142857143</v>
      </c>
      <c r="M235" s="6" t="n">
        <f aca="false">IF(I235=0,0,J235/I235)</f>
        <v>951.84</v>
      </c>
    </row>
    <row r="236" customFormat="false" ht="15" hidden="false" customHeight="false" outlineLevel="0" collapsed="false">
      <c r="A236" s="2" t="n">
        <v>235</v>
      </c>
      <c r="B236" s="3" t="s">
        <v>69</v>
      </c>
      <c r="C236" s="3" t="s">
        <v>65</v>
      </c>
      <c r="D236" s="3" t="s">
        <v>24</v>
      </c>
      <c r="E236" s="3" t="s">
        <v>33</v>
      </c>
      <c r="F236" s="3" t="s">
        <v>23</v>
      </c>
      <c r="G236" s="3" t="s">
        <v>18</v>
      </c>
      <c r="H236" s="2" t="n">
        <v>4</v>
      </c>
      <c r="I236" s="2" t="n">
        <v>1</v>
      </c>
      <c r="J236" s="4" t="n">
        <v>287.71</v>
      </c>
      <c r="K236" s="4" t="n">
        <v>67.52</v>
      </c>
      <c r="L236" s="5" t="n">
        <f aca="false">IF(H236=0,0,I236/H236)</f>
        <v>0.25</v>
      </c>
      <c r="M236" s="6" t="n">
        <f aca="false">IF(I236=0,0,J236/I236)</f>
        <v>287.71</v>
      </c>
    </row>
    <row r="237" customFormat="false" ht="15" hidden="false" customHeight="false" outlineLevel="0" collapsed="false">
      <c r="A237" s="2" t="n">
        <v>236</v>
      </c>
      <c r="B237" s="3" t="s">
        <v>69</v>
      </c>
      <c r="C237" s="3" t="s">
        <v>65</v>
      </c>
      <c r="D237" s="3" t="s">
        <v>19</v>
      </c>
      <c r="E237" s="3" t="s">
        <v>16</v>
      </c>
      <c r="F237" s="3" t="s">
        <v>29</v>
      </c>
      <c r="G237" s="3" t="s">
        <v>31</v>
      </c>
      <c r="H237" s="2" t="n">
        <v>8</v>
      </c>
      <c r="I237" s="2" t="n">
        <v>3</v>
      </c>
      <c r="J237" s="4" t="n">
        <v>2878.95</v>
      </c>
      <c r="K237" s="4" t="n">
        <v>423.9</v>
      </c>
      <c r="L237" s="5" t="n">
        <f aca="false">IF(H237=0,0,I237/H237)</f>
        <v>0.375</v>
      </c>
      <c r="M237" s="6" t="n">
        <f aca="false">IF(I237=0,0,J237/I237)</f>
        <v>959.65</v>
      </c>
    </row>
    <row r="238" customFormat="false" ht="15" hidden="false" customHeight="false" outlineLevel="0" collapsed="false">
      <c r="A238" s="2" t="n">
        <v>237</v>
      </c>
      <c r="B238" s="3" t="s">
        <v>70</v>
      </c>
      <c r="C238" s="3" t="s">
        <v>65</v>
      </c>
      <c r="D238" s="3" t="s">
        <v>19</v>
      </c>
      <c r="E238" s="3" t="s">
        <v>33</v>
      </c>
      <c r="F238" s="3" t="s">
        <v>23</v>
      </c>
      <c r="G238" s="3" t="s">
        <v>18</v>
      </c>
      <c r="H238" s="2" t="n">
        <v>11</v>
      </c>
      <c r="I238" s="2" t="n">
        <v>3</v>
      </c>
      <c r="J238" s="4" t="n">
        <v>2229.85</v>
      </c>
      <c r="K238" s="4" t="n">
        <v>321.79</v>
      </c>
      <c r="L238" s="5" t="n">
        <f aca="false">IF(H238=0,0,I238/H238)</f>
        <v>0.272727272727273</v>
      </c>
      <c r="M238" s="6" t="n">
        <f aca="false">IF(I238=0,0,J238/I238)</f>
        <v>743.283333333333</v>
      </c>
    </row>
    <row r="239" customFormat="false" ht="15" hidden="false" customHeight="false" outlineLevel="0" collapsed="false">
      <c r="A239" s="2" t="n">
        <v>238</v>
      </c>
      <c r="B239" s="3" t="s">
        <v>70</v>
      </c>
      <c r="C239" s="3" t="s">
        <v>65</v>
      </c>
      <c r="D239" s="3" t="s">
        <v>19</v>
      </c>
      <c r="E239" s="3" t="s">
        <v>25</v>
      </c>
      <c r="F239" s="3" t="s">
        <v>29</v>
      </c>
      <c r="G239" s="3" t="s">
        <v>21</v>
      </c>
      <c r="H239" s="2" t="n">
        <v>6</v>
      </c>
      <c r="I239" s="2" t="n">
        <v>1</v>
      </c>
      <c r="J239" s="4" t="n">
        <v>829.82</v>
      </c>
      <c r="K239" s="4" t="n">
        <v>109.23</v>
      </c>
      <c r="L239" s="5" t="n">
        <f aca="false">IF(H239=0,0,I239/H239)</f>
        <v>0.166666666666667</v>
      </c>
      <c r="M239" s="6" t="n">
        <f aca="false">IF(I239=0,0,J239/I239)</f>
        <v>829.82</v>
      </c>
    </row>
    <row r="240" customFormat="false" ht="15" hidden="false" customHeight="false" outlineLevel="0" collapsed="false">
      <c r="A240" s="2" t="n">
        <v>239</v>
      </c>
      <c r="B240" s="3" t="s">
        <v>70</v>
      </c>
      <c r="C240" s="3" t="s">
        <v>65</v>
      </c>
      <c r="D240" s="3" t="s">
        <v>19</v>
      </c>
      <c r="E240" s="3" t="s">
        <v>25</v>
      </c>
      <c r="F240" s="3" t="s">
        <v>29</v>
      </c>
      <c r="G240" s="3" t="s">
        <v>18</v>
      </c>
      <c r="H240" s="2" t="n">
        <v>10</v>
      </c>
      <c r="I240" s="2" t="n">
        <v>1</v>
      </c>
      <c r="J240" s="4" t="n">
        <v>893.08</v>
      </c>
      <c r="K240" s="4" t="n">
        <v>131.83</v>
      </c>
      <c r="L240" s="5" t="n">
        <f aca="false">IF(H240=0,0,I240/H240)</f>
        <v>0.1</v>
      </c>
      <c r="M240" s="6" t="n">
        <f aca="false">IF(I240=0,0,J240/I240)</f>
        <v>893.08</v>
      </c>
    </row>
    <row r="241" customFormat="false" ht="15" hidden="false" customHeight="false" outlineLevel="0" collapsed="false">
      <c r="A241" s="2" t="n">
        <v>240</v>
      </c>
      <c r="B241" s="3" t="s">
        <v>70</v>
      </c>
      <c r="C241" s="3" t="s">
        <v>65</v>
      </c>
      <c r="D241" s="3" t="s">
        <v>19</v>
      </c>
      <c r="E241" s="3" t="s">
        <v>33</v>
      </c>
      <c r="F241" s="3" t="s">
        <v>17</v>
      </c>
      <c r="G241" s="3" t="s">
        <v>30</v>
      </c>
      <c r="H241" s="2" t="n">
        <v>10</v>
      </c>
      <c r="I241" s="2" t="n">
        <v>1</v>
      </c>
      <c r="J241" s="4" t="n">
        <v>739.36</v>
      </c>
      <c r="K241" s="4" t="n">
        <v>106.19</v>
      </c>
      <c r="L241" s="5" t="n">
        <f aca="false">IF(H241=0,0,I241/H241)</f>
        <v>0.1</v>
      </c>
      <c r="M241" s="6" t="n">
        <f aca="false">IF(I241=0,0,J241/I241)</f>
        <v>739.36</v>
      </c>
    </row>
    <row r="242" customFormat="false" ht="15" hidden="false" customHeight="false" outlineLevel="0" collapsed="false">
      <c r="A242" s="2" t="n">
        <v>241</v>
      </c>
      <c r="B242" s="3" t="s">
        <v>70</v>
      </c>
      <c r="C242" s="3" t="s">
        <v>65</v>
      </c>
      <c r="D242" s="3" t="s">
        <v>24</v>
      </c>
      <c r="E242" s="3" t="s">
        <v>25</v>
      </c>
      <c r="F242" s="3" t="s">
        <v>23</v>
      </c>
      <c r="G242" s="3" t="s">
        <v>30</v>
      </c>
      <c r="H242" s="2" t="n">
        <v>8</v>
      </c>
      <c r="I242" s="2" t="n">
        <v>3</v>
      </c>
      <c r="J242" s="4" t="n">
        <v>927.95</v>
      </c>
      <c r="K242" s="4" t="n">
        <v>224.13</v>
      </c>
      <c r="L242" s="5" t="n">
        <f aca="false">IF(H242=0,0,I242/H242)</f>
        <v>0.375</v>
      </c>
      <c r="M242" s="6" t="n">
        <f aca="false">IF(I242=0,0,J242/I242)</f>
        <v>309.316666666667</v>
      </c>
    </row>
    <row r="243" customFormat="false" ht="15" hidden="false" customHeight="false" outlineLevel="0" collapsed="false">
      <c r="A243" s="2" t="n">
        <v>242</v>
      </c>
      <c r="B243" s="3" t="s">
        <v>70</v>
      </c>
      <c r="C243" s="3" t="s">
        <v>65</v>
      </c>
      <c r="D243" s="3" t="s">
        <v>22</v>
      </c>
      <c r="E243" s="3" t="s">
        <v>28</v>
      </c>
      <c r="F243" s="3" t="s">
        <v>23</v>
      </c>
      <c r="G243" s="3" t="s">
        <v>26</v>
      </c>
      <c r="H243" s="2" t="n">
        <v>5</v>
      </c>
      <c r="I243" s="2" t="n">
        <v>1</v>
      </c>
      <c r="J243" s="4" t="n">
        <v>95.61</v>
      </c>
      <c r="K243" s="4" t="n">
        <v>40.47</v>
      </c>
      <c r="L243" s="5" t="n">
        <f aca="false">IF(H243=0,0,I243/H243)</f>
        <v>0.2</v>
      </c>
      <c r="M243" s="6" t="n">
        <f aca="false">IF(I243=0,0,J243/I243)</f>
        <v>95.61</v>
      </c>
    </row>
    <row r="244" customFormat="false" ht="15" hidden="false" customHeight="false" outlineLevel="0" collapsed="false">
      <c r="A244" s="2" t="n">
        <v>243</v>
      </c>
      <c r="B244" s="3" t="s">
        <v>70</v>
      </c>
      <c r="C244" s="3" t="s">
        <v>65</v>
      </c>
      <c r="D244" s="3" t="s">
        <v>22</v>
      </c>
      <c r="E244" s="3" t="s">
        <v>25</v>
      </c>
      <c r="F244" s="3" t="s">
        <v>23</v>
      </c>
      <c r="G244" s="3" t="s">
        <v>34</v>
      </c>
      <c r="H244" s="2" t="n">
        <v>6</v>
      </c>
      <c r="I244" s="2" t="n">
        <v>0</v>
      </c>
      <c r="J244" s="4" t="n">
        <v>0</v>
      </c>
      <c r="K244" s="4" t="n">
        <v>0</v>
      </c>
      <c r="L244" s="5" t="n">
        <f aca="false">IF(H244=0,0,I244/H244)</f>
        <v>0</v>
      </c>
      <c r="M244" s="6" t="n">
        <f aca="false">IF(I244=0,0,J244/I244)</f>
        <v>0</v>
      </c>
    </row>
    <row r="245" customFormat="false" ht="15" hidden="false" customHeight="false" outlineLevel="0" collapsed="false">
      <c r="A245" s="2" t="n">
        <v>244</v>
      </c>
      <c r="B245" s="3" t="s">
        <v>71</v>
      </c>
      <c r="C245" s="3" t="s">
        <v>65</v>
      </c>
      <c r="D245" s="3" t="s">
        <v>24</v>
      </c>
      <c r="E245" s="3" t="s">
        <v>33</v>
      </c>
      <c r="F245" s="3" t="s">
        <v>23</v>
      </c>
      <c r="G245" s="3" t="s">
        <v>18</v>
      </c>
      <c r="H245" s="2" t="n">
        <v>9</v>
      </c>
      <c r="I245" s="2" t="n">
        <v>1</v>
      </c>
      <c r="J245" s="4" t="n">
        <v>278.23</v>
      </c>
      <c r="K245" s="4" t="n">
        <v>70.86</v>
      </c>
      <c r="L245" s="5" t="n">
        <f aca="false">IF(H245=0,0,I245/H245)</f>
        <v>0.111111111111111</v>
      </c>
      <c r="M245" s="6" t="n">
        <f aca="false">IF(I245=0,0,J245/I245)</f>
        <v>278.23</v>
      </c>
    </row>
    <row r="246" customFormat="false" ht="15" hidden="false" customHeight="false" outlineLevel="0" collapsed="false">
      <c r="A246" s="2" t="n">
        <v>245</v>
      </c>
      <c r="B246" s="3" t="s">
        <v>71</v>
      </c>
      <c r="C246" s="3" t="s">
        <v>65</v>
      </c>
      <c r="D246" s="3" t="s">
        <v>15</v>
      </c>
      <c r="E246" s="3" t="s">
        <v>16</v>
      </c>
      <c r="F246" s="3" t="s">
        <v>23</v>
      </c>
      <c r="G246" s="3" t="s">
        <v>21</v>
      </c>
      <c r="H246" s="2" t="n">
        <v>8</v>
      </c>
      <c r="I246" s="2" t="n">
        <v>0</v>
      </c>
      <c r="J246" s="4" t="n">
        <v>0</v>
      </c>
      <c r="K246" s="4" t="n">
        <v>0</v>
      </c>
      <c r="L246" s="5" t="n">
        <f aca="false">IF(H246=0,0,I246/H246)</f>
        <v>0</v>
      </c>
      <c r="M246" s="6" t="n">
        <f aca="false">IF(I246=0,0,J246/I246)</f>
        <v>0</v>
      </c>
    </row>
    <row r="247" customFormat="false" ht="15" hidden="false" customHeight="false" outlineLevel="0" collapsed="false">
      <c r="A247" s="2" t="n">
        <v>246</v>
      </c>
      <c r="B247" s="3" t="s">
        <v>71</v>
      </c>
      <c r="C247" s="3" t="s">
        <v>65</v>
      </c>
      <c r="D247" s="3" t="s">
        <v>24</v>
      </c>
      <c r="E247" s="3" t="s">
        <v>16</v>
      </c>
      <c r="F247" s="3" t="s">
        <v>23</v>
      </c>
      <c r="G247" s="3" t="s">
        <v>18</v>
      </c>
      <c r="H247" s="2" t="n">
        <v>11</v>
      </c>
      <c r="I247" s="2" t="n">
        <v>4</v>
      </c>
      <c r="J247" s="4" t="n">
        <v>852.9</v>
      </c>
      <c r="K247" s="4" t="n">
        <v>206.94</v>
      </c>
      <c r="L247" s="5" t="n">
        <f aca="false">IF(H247=0,0,I247/H247)</f>
        <v>0.363636363636364</v>
      </c>
      <c r="M247" s="6" t="n">
        <f aca="false">IF(I247=0,0,J247/I247)</f>
        <v>213.225</v>
      </c>
    </row>
    <row r="248" customFormat="false" ht="15" hidden="false" customHeight="false" outlineLevel="0" collapsed="false">
      <c r="A248" s="2" t="n">
        <v>247</v>
      </c>
      <c r="B248" s="3" t="s">
        <v>71</v>
      </c>
      <c r="C248" s="3" t="s">
        <v>65</v>
      </c>
      <c r="D248" s="3" t="s">
        <v>19</v>
      </c>
      <c r="E248" s="3" t="s">
        <v>33</v>
      </c>
      <c r="F248" s="3" t="s">
        <v>29</v>
      </c>
      <c r="G248" s="3" t="s">
        <v>34</v>
      </c>
      <c r="H248" s="2" t="n">
        <v>11</v>
      </c>
      <c r="I248" s="2" t="n">
        <v>0</v>
      </c>
      <c r="J248" s="4" t="n">
        <v>0</v>
      </c>
      <c r="K248" s="4" t="n">
        <v>0</v>
      </c>
      <c r="L248" s="5" t="n">
        <f aca="false">IF(H248=0,0,I248/H248)</f>
        <v>0</v>
      </c>
      <c r="M248" s="6" t="n">
        <f aca="false">IF(I248=0,0,J248/I248)</f>
        <v>0</v>
      </c>
    </row>
    <row r="249" customFormat="false" ht="15" hidden="false" customHeight="false" outlineLevel="0" collapsed="false">
      <c r="A249" s="2" t="n">
        <v>248</v>
      </c>
      <c r="B249" s="3" t="s">
        <v>72</v>
      </c>
      <c r="C249" s="3" t="s">
        <v>65</v>
      </c>
      <c r="D249" s="3" t="s">
        <v>27</v>
      </c>
      <c r="E249" s="3" t="s">
        <v>28</v>
      </c>
      <c r="F249" s="3" t="s">
        <v>23</v>
      </c>
      <c r="G249" s="3" t="s">
        <v>34</v>
      </c>
      <c r="H249" s="2" t="n">
        <v>9</v>
      </c>
      <c r="I249" s="2" t="n">
        <v>1</v>
      </c>
      <c r="J249" s="4" t="n">
        <v>1567.44</v>
      </c>
      <c r="K249" s="4" t="n">
        <v>285.83</v>
      </c>
      <c r="L249" s="5" t="n">
        <f aca="false">IF(H249=0,0,I249/H249)</f>
        <v>0.111111111111111</v>
      </c>
      <c r="M249" s="6" t="n">
        <f aca="false">IF(I249=0,0,J249/I249)</f>
        <v>1567.44</v>
      </c>
    </row>
    <row r="250" customFormat="false" ht="15" hidden="false" customHeight="false" outlineLevel="0" collapsed="false">
      <c r="A250" s="2" t="n">
        <v>249</v>
      </c>
      <c r="B250" s="3" t="s">
        <v>72</v>
      </c>
      <c r="C250" s="3" t="s">
        <v>65</v>
      </c>
      <c r="D250" s="3" t="s">
        <v>22</v>
      </c>
      <c r="E250" s="3" t="s">
        <v>16</v>
      </c>
      <c r="F250" s="3" t="s">
        <v>23</v>
      </c>
      <c r="G250" s="3" t="s">
        <v>31</v>
      </c>
      <c r="H250" s="2" t="n">
        <v>4</v>
      </c>
      <c r="I250" s="2" t="n">
        <v>1</v>
      </c>
      <c r="J250" s="4" t="n">
        <v>96.51</v>
      </c>
      <c r="K250" s="4" t="n">
        <v>38.05</v>
      </c>
      <c r="L250" s="5" t="n">
        <f aca="false">IF(H250=0,0,I250/H250)</f>
        <v>0.25</v>
      </c>
      <c r="M250" s="6" t="n">
        <f aca="false">IF(I250=0,0,J250/I250)</f>
        <v>96.51</v>
      </c>
    </row>
    <row r="251" customFormat="false" ht="15" hidden="false" customHeight="false" outlineLevel="0" collapsed="false">
      <c r="A251" s="2" t="n">
        <v>250</v>
      </c>
      <c r="B251" s="3" t="s">
        <v>73</v>
      </c>
      <c r="C251" s="3" t="s">
        <v>65</v>
      </c>
      <c r="D251" s="3" t="s">
        <v>24</v>
      </c>
      <c r="E251" s="3" t="s">
        <v>25</v>
      </c>
      <c r="F251" s="3" t="s">
        <v>23</v>
      </c>
      <c r="G251" s="3" t="s">
        <v>34</v>
      </c>
      <c r="H251" s="2" t="n">
        <v>7</v>
      </c>
      <c r="I251" s="2" t="n">
        <v>3</v>
      </c>
      <c r="J251" s="4" t="n">
        <v>1078.57</v>
      </c>
      <c r="K251" s="4" t="n">
        <v>255.71</v>
      </c>
      <c r="L251" s="5" t="n">
        <f aca="false">IF(H251=0,0,I251/H251)</f>
        <v>0.428571428571429</v>
      </c>
      <c r="M251" s="6" t="n">
        <f aca="false">IF(I251=0,0,J251/I251)</f>
        <v>359.523333333333</v>
      </c>
    </row>
    <row r="252" customFormat="false" ht="15" hidden="false" customHeight="false" outlineLevel="0" collapsed="false">
      <c r="A252" s="2" t="n">
        <v>251</v>
      </c>
      <c r="B252" s="3" t="s">
        <v>73</v>
      </c>
      <c r="C252" s="3" t="s">
        <v>65</v>
      </c>
      <c r="D252" s="3" t="s">
        <v>15</v>
      </c>
      <c r="E252" s="3" t="s">
        <v>16</v>
      </c>
      <c r="F252" s="3" t="s">
        <v>23</v>
      </c>
      <c r="G252" s="3" t="s">
        <v>31</v>
      </c>
      <c r="H252" s="2" t="n">
        <v>5</v>
      </c>
      <c r="I252" s="2" t="n">
        <v>1</v>
      </c>
      <c r="J252" s="4" t="n">
        <v>233.82</v>
      </c>
      <c r="K252" s="4" t="n">
        <v>64.68</v>
      </c>
      <c r="L252" s="5" t="n">
        <f aca="false">IF(H252=0,0,I252/H252)</f>
        <v>0.2</v>
      </c>
      <c r="M252" s="6" t="n">
        <f aca="false">IF(I252=0,0,J252/I252)</f>
        <v>233.82</v>
      </c>
    </row>
    <row r="253" customFormat="false" ht="15" hidden="false" customHeight="false" outlineLevel="0" collapsed="false">
      <c r="A253" s="2" t="n">
        <v>252</v>
      </c>
      <c r="B253" s="3" t="s">
        <v>73</v>
      </c>
      <c r="C253" s="3" t="s">
        <v>65</v>
      </c>
      <c r="D253" s="3" t="s">
        <v>19</v>
      </c>
      <c r="E253" s="3" t="s">
        <v>25</v>
      </c>
      <c r="F253" s="3" t="s">
        <v>23</v>
      </c>
      <c r="G253" s="3" t="s">
        <v>21</v>
      </c>
      <c r="H253" s="2" t="n">
        <v>6</v>
      </c>
      <c r="I253" s="2" t="n">
        <v>0</v>
      </c>
      <c r="J253" s="4" t="n">
        <v>0</v>
      </c>
      <c r="K253" s="4" t="n">
        <v>0</v>
      </c>
      <c r="L253" s="5" t="n">
        <f aca="false">IF(H253=0,0,I253/H253)</f>
        <v>0</v>
      </c>
      <c r="M253" s="6" t="n">
        <f aca="false">IF(I253=0,0,J253/I253)</f>
        <v>0</v>
      </c>
    </row>
    <row r="254" customFormat="false" ht="15" hidden="false" customHeight="false" outlineLevel="0" collapsed="false">
      <c r="A254" s="2" t="n">
        <v>253</v>
      </c>
      <c r="B254" s="3" t="s">
        <v>73</v>
      </c>
      <c r="C254" s="3" t="s">
        <v>65</v>
      </c>
      <c r="D254" s="3" t="s">
        <v>24</v>
      </c>
      <c r="E254" s="3" t="s">
        <v>16</v>
      </c>
      <c r="F254" s="3" t="s">
        <v>29</v>
      </c>
      <c r="G254" s="3" t="s">
        <v>30</v>
      </c>
      <c r="H254" s="2" t="n">
        <v>4</v>
      </c>
      <c r="I254" s="2" t="n">
        <v>2</v>
      </c>
      <c r="J254" s="4" t="n">
        <v>470.71</v>
      </c>
      <c r="K254" s="4" t="n">
        <v>116.08</v>
      </c>
      <c r="L254" s="5" t="n">
        <f aca="false">IF(H254=0,0,I254/H254)</f>
        <v>0.5</v>
      </c>
      <c r="M254" s="6" t="n">
        <f aca="false">IF(I254=0,0,J254/I254)</f>
        <v>235.355</v>
      </c>
    </row>
    <row r="255" customFormat="false" ht="15" hidden="false" customHeight="false" outlineLevel="0" collapsed="false">
      <c r="A255" s="2" t="n">
        <v>254</v>
      </c>
      <c r="B255" s="3" t="s">
        <v>73</v>
      </c>
      <c r="C255" s="3" t="s">
        <v>65</v>
      </c>
      <c r="D255" s="3" t="s">
        <v>19</v>
      </c>
      <c r="E255" s="3" t="s">
        <v>25</v>
      </c>
      <c r="F255" s="3" t="s">
        <v>23</v>
      </c>
      <c r="G255" s="3" t="s">
        <v>30</v>
      </c>
      <c r="H255" s="2" t="n">
        <v>7</v>
      </c>
      <c r="I255" s="2" t="n">
        <v>0</v>
      </c>
      <c r="J255" s="4" t="n">
        <v>0</v>
      </c>
      <c r="K255" s="4" t="n">
        <v>0</v>
      </c>
      <c r="L255" s="5" t="n">
        <f aca="false">IF(H255=0,0,I255/H255)</f>
        <v>0</v>
      </c>
      <c r="M255" s="6" t="n">
        <f aca="false">IF(I255=0,0,J255/I255)</f>
        <v>0</v>
      </c>
    </row>
    <row r="256" customFormat="false" ht="15" hidden="false" customHeight="false" outlineLevel="0" collapsed="false">
      <c r="A256" s="2" t="n">
        <v>255</v>
      </c>
      <c r="B256" s="3" t="s">
        <v>73</v>
      </c>
      <c r="C256" s="3" t="s">
        <v>65</v>
      </c>
      <c r="D256" s="3" t="s">
        <v>19</v>
      </c>
      <c r="E256" s="3" t="s">
        <v>25</v>
      </c>
      <c r="F256" s="3" t="s">
        <v>23</v>
      </c>
      <c r="G256" s="3" t="s">
        <v>26</v>
      </c>
      <c r="H256" s="2" t="n">
        <v>3</v>
      </c>
      <c r="I256" s="2" t="n">
        <v>0</v>
      </c>
      <c r="J256" s="4" t="n">
        <v>0</v>
      </c>
      <c r="K256" s="4" t="n">
        <v>0</v>
      </c>
      <c r="L256" s="5" t="n">
        <f aca="false">IF(H256=0,0,I256/H256)</f>
        <v>0</v>
      </c>
      <c r="M256" s="6" t="n">
        <f aca="false">IF(I256=0,0,J256/I256)</f>
        <v>0</v>
      </c>
    </row>
    <row r="257" customFormat="false" ht="15" hidden="false" customHeight="false" outlineLevel="0" collapsed="false">
      <c r="A257" s="2" t="n">
        <v>256</v>
      </c>
      <c r="B257" s="3" t="s">
        <v>73</v>
      </c>
      <c r="C257" s="3" t="s">
        <v>65</v>
      </c>
      <c r="D257" s="3" t="s">
        <v>27</v>
      </c>
      <c r="E257" s="3" t="s">
        <v>16</v>
      </c>
      <c r="F257" s="3" t="s">
        <v>23</v>
      </c>
      <c r="G257" s="3" t="s">
        <v>31</v>
      </c>
      <c r="H257" s="2" t="n">
        <v>2</v>
      </c>
      <c r="I257" s="2" t="n">
        <v>0</v>
      </c>
      <c r="J257" s="4" t="n">
        <v>0</v>
      </c>
      <c r="K257" s="4" t="n">
        <v>0</v>
      </c>
      <c r="L257" s="5" t="n">
        <f aca="false">IF(H257=0,0,I257/H257)</f>
        <v>0</v>
      </c>
      <c r="M257" s="6" t="n">
        <f aca="false">IF(I257=0,0,J257/I257)</f>
        <v>0</v>
      </c>
    </row>
    <row r="258" customFormat="false" ht="15" hidden="false" customHeight="false" outlineLevel="0" collapsed="false">
      <c r="A258" s="2" t="n">
        <v>257</v>
      </c>
      <c r="B258" s="3" t="s">
        <v>73</v>
      </c>
      <c r="C258" s="3" t="s">
        <v>65</v>
      </c>
      <c r="D258" s="3" t="s">
        <v>27</v>
      </c>
      <c r="E258" s="3" t="s">
        <v>28</v>
      </c>
      <c r="F258" s="3" t="s">
        <v>23</v>
      </c>
      <c r="G258" s="3" t="s">
        <v>34</v>
      </c>
      <c r="H258" s="2" t="n">
        <v>8</v>
      </c>
      <c r="I258" s="2" t="n">
        <v>3</v>
      </c>
      <c r="J258" s="4" t="n">
        <v>3480.55</v>
      </c>
      <c r="K258" s="4" t="n">
        <v>605.04</v>
      </c>
      <c r="L258" s="5" t="n">
        <f aca="false">IF(H258=0,0,I258/H258)</f>
        <v>0.375</v>
      </c>
      <c r="M258" s="6" t="n">
        <f aca="false">IF(I258=0,0,J258/I258)</f>
        <v>1160.18333333333</v>
      </c>
    </row>
    <row r="259" customFormat="false" ht="15" hidden="false" customHeight="false" outlineLevel="0" collapsed="false">
      <c r="A259" s="2" t="n">
        <v>258</v>
      </c>
      <c r="B259" s="3" t="s">
        <v>73</v>
      </c>
      <c r="C259" s="3" t="s">
        <v>65</v>
      </c>
      <c r="D259" s="3" t="s">
        <v>24</v>
      </c>
      <c r="E259" s="3" t="s">
        <v>16</v>
      </c>
      <c r="F259" s="3" t="s">
        <v>23</v>
      </c>
      <c r="G259" s="3" t="s">
        <v>26</v>
      </c>
      <c r="H259" s="2" t="n">
        <v>5</v>
      </c>
      <c r="I259" s="2" t="n">
        <v>3</v>
      </c>
      <c r="J259" s="4" t="n">
        <v>884.04</v>
      </c>
      <c r="K259" s="4" t="n">
        <v>237.39</v>
      </c>
      <c r="L259" s="5" t="n">
        <f aca="false">IF(H259=0,0,I259/H259)</f>
        <v>0.6</v>
      </c>
      <c r="M259" s="6" t="n">
        <f aca="false">IF(I259=0,0,J259/I259)</f>
        <v>294.68</v>
      </c>
    </row>
    <row r="260" customFormat="false" ht="15" hidden="false" customHeight="false" outlineLevel="0" collapsed="false">
      <c r="A260" s="2" t="n">
        <v>259</v>
      </c>
      <c r="B260" s="3" t="s">
        <v>73</v>
      </c>
      <c r="C260" s="3" t="s">
        <v>65</v>
      </c>
      <c r="D260" s="3" t="s">
        <v>19</v>
      </c>
      <c r="E260" s="3" t="s">
        <v>25</v>
      </c>
      <c r="F260" s="3" t="s">
        <v>23</v>
      </c>
      <c r="G260" s="3" t="s">
        <v>18</v>
      </c>
      <c r="H260" s="2" t="n">
        <v>8</v>
      </c>
      <c r="I260" s="2" t="n">
        <v>4</v>
      </c>
      <c r="J260" s="4" t="n">
        <v>3000.05</v>
      </c>
      <c r="K260" s="4" t="n">
        <v>445.16</v>
      </c>
      <c r="L260" s="5" t="n">
        <f aca="false">IF(H260=0,0,I260/H260)</f>
        <v>0.5</v>
      </c>
      <c r="M260" s="6" t="n">
        <f aca="false">IF(I260=0,0,J260/I260)</f>
        <v>750.0125</v>
      </c>
    </row>
    <row r="261" customFormat="false" ht="15" hidden="false" customHeight="false" outlineLevel="0" collapsed="false">
      <c r="A261" s="2" t="n">
        <v>260</v>
      </c>
      <c r="B261" s="3" t="s">
        <v>74</v>
      </c>
      <c r="C261" s="3" t="s">
        <v>65</v>
      </c>
      <c r="D261" s="3" t="s">
        <v>19</v>
      </c>
      <c r="E261" s="3" t="s">
        <v>33</v>
      </c>
      <c r="F261" s="3" t="s">
        <v>23</v>
      </c>
      <c r="G261" s="3" t="s">
        <v>26</v>
      </c>
      <c r="H261" s="2" t="n">
        <v>7</v>
      </c>
      <c r="I261" s="2" t="n">
        <v>2</v>
      </c>
      <c r="J261" s="4" t="n">
        <v>1809.62</v>
      </c>
      <c r="K261" s="4" t="n">
        <v>250.67</v>
      </c>
      <c r="L261" s="5" t="n">
        <f aca="false">IF(H261=0,0,I261/H261)</f>
        <v>0.285714285714286</v>
      </c>
      <c r="M261" s="6" t="n">
        <f aca="false">IF(I261=0,0,J261/I261)</f>
        <v>904.81</v>
      </c>
    </row>
    <row r="262" customFormat="false" ht="15" hidden="false" customHeight="false" outlineLevel="0" collapsed="false">
      <c r="A262" s="2" t="n">
        <v>261</v>
      </c>
      <c r="B262" s="3" t="s">
        <v>74</v>
      </c>
      <c r="C262" s="3" t="s">
        <v>65</v>
      </c>
      <c r="D262" s="3" t="s">
        <v>19</v>
      </c>
      <c r="E262" s="3" t="s">
        <v>25</v>
      </c>
      <c r="F262" s="3" t="s">
        <v>23</v>
      </c>
      <c r="G262" s="3" t="s">
        <v>26</v>
      </c>
      <c r="H262" s="2" t="n">
        <v>8</v>
      </c>
      <c r="I262" s="2" t="n">
        <v>1</v>
      </c>
      <c r="J262" s="4" t="n">
        <v>984.51</v>
      </c>
      <c r="K262" s="4" t="n">
        <v>127.36</v>
      </c>
      <c r="L262" s="5" t="n">
        <f aca="false">IF(H262=0,0,I262/H262)</f>
        <v>0.125</v>
      </c>
      <c r="M262" s="6" t="n">
        <f aca="false">IF(I262=0,0,J262/I262)</f>
        <v>984.51</v>
      </c>
    </row>
    <row r="263" customFormat="false" ht="15" hidden="false" customHeight="false" outlineLevel="0" collapsed="false">
      <c r="A263" s="2" t="n">
        <v>262</v>
      </c>
      <c r="B263" s="3" t="s">
        <v>74</v>
      </c>
      <c r="C263" s="3" t="s">
        <v>65</v>
      </c>
      <c r="D263" s="3" t="s">
        <v>22</v>
      </c>
      <c r="E263" s="3" t="s">
        <v>33</v>
      </c>
      <c r="F263" s="3" t="s">
        <v>20</v>
      </c>
      <c r="G263" s="3" t="s">
        <v>30</v>
      </c>
      <c r="H263" s="2" t="n">
        <v>6</v>
      </c>
      <c r="I263" s="2" t="n">
        <v>3</v>
      </c>
      <c r="J263" s="4" t="n">
        <v>282.06</v>
      </c>
      <c r="K263" s="4" t="n">
        <v>122.14</v>
      </c>
      <c r="L263" s="5" t="n">
        <f aca="false">IF(H263=0,0,I263/H263)</f>
        <v>0.5</v>
      </c>
      <c r="M263" s="6" t="n">
        <f aca="false">IF(I263=0,0,J263/I263)</f>
        <v>94.02</v>
      </c>
    </row>
    <row r="264" customFormat="false" ht="15" hidden="false" customHeight="false" outlineLevel="0" collapsed="false">
      <c r="A264" s="2" t="n">
        <v>263</v>
      </c>
      <c r="B264" s="3" t="s">
        <v>74</v>
      </c>
      <c r="C264" s="3" t="s">
        <v>65</v>
      </c>
      <c r="D264" s="3" t="s">
        <v>19</v>
      </c>
      <c r="E264" s="3" t="s">
        <v>16</v>
      </c>
      <c r="F264" s="3" t="s">
        <v>23</v>
      </c>
      <c r="G264" s="3" t="s">
        <v>26</v>
      </c>
      <c r="H264" s="2" t="n">
        <v>5</v>
      </c>
      <c r="I264" s="2" t="n">
        <v>0</v>
      </c>
      <c r="J264" s="4" t="n">
        <v>0</v>
      </c>
      <c r="K264" s="4" t="n">
        <v>0</v>
      </c>
      <c r="L264" s="5" t="n">
        <f aca="false">IF(H264=0,0,I264/H264)</f>
        <v>0</v>
      </c>
      <c r="M264" s="6" t="n">
        <f aca="false">IF(I264=0,0,J264/I264)</f>
        <v>0</v>
      </c>
    </row>
    <row r="265" customFormat="false" ht="15" hidden="false" customHeight="false" outlineLevel="0" collapsed="false">
      <c r="A265" s="2" t="n">
        <v>264</v>
      </c>
      <c r="B265" s="3" t="s">
        <v>74</v>
      </c>
      <c r="C265" s="3" t="s">
        <v>65</v>
      </c>
      <c r="D265" s="3" t="s">
        <v>22</v>
      </c>
      <c r="E265" s="3" t="s">
        <v>25</v>
      </c>
      <c r="F265" s="3" t="s">
        <v>17</v>
      </c>
      <c r="G265" s="3" t="s">
        <v>18</v>
      </c>
      <c r="H265" s="2" t="n">
        <v>8</v>
      </c>
      <c r="I265" s="2" t="n">
        <v>1</v>
      </c>
      <c r="J265" s="4" t="n">
        <v>100.86</v>
      </c>
      <c r="K265" s="4" t="n">
        <v>40.2</v>
      </c>
      <c r="L265" s="5" t="n">
        <f aca="false">IF(H265=0,0,I265/H265)</f>
        <v>0.125</v>
      </c>
      <c r="M265" s="6" t="n">
        <f aca="false">IF(I265=0,0,J265/I265)</f>
        <v>100.86</v>
      </c>
    </row>
    <row r="266" customFormat="false" ht="15" hidden="false" customHeight="false" outlineLevel="0" collapsed="false">
      <c r="A266" s="2" t="n">
        <v>265</v>
      </c>
      <c r="B266" s="3" t="s">
        <v>74</v>
      </c>
      <c r="C266" s="3" t="s">
        <v>65</v>
      </c>
      <c r="D266" s="3" t="s">
        <v>15</v>
      </c>
      <c r="E266" s="3" t="s">
        <v>25</v>
      </c>
      <c r="F266" s="3" t="s">
        <v>23</v>
      </c>
      <c r="G266" s="3" t="s">
        <v>31</v>
      </c>
      <c r="H266" s="2" t="n">
        <v>4</v>
      </c>
      <c r="I266" s="2" t="n">
        <v>1</v>
      </c>
      <c r="J266" s="4" t="n">
        <v>164.86</v>
      </c>
      <c r="K266" s="4" t="n">
        <v>47.74</v>
      </c>
      <c r="L266" s="5" t="n">
        <f aca="false">IF(H266=0,0,I266/H266)</f>
        <v>0.25</v>
      </c>
      <c r="M266" s="6" t="n">
        <f aca="false">IF(I266=0,0,J266/I266)</f>
        <v>164.86</v>
      </c>
    </row>
    <row r="267" customFormat="false" ht="15" hidden="false" customHeight="false" outlineLevel="0" collapsed="false">
      <c r="A267" s="2" t="n">
        <v>266</v>
      </c>
      <c r="B267" s="3" t="s">
        <v>74</v>
      </c>
      <c r="C267" s="3" t="s">
        <v>65</v>
      </c>
      <c r="D267" s="3" t="s">
        <v>22</v>
      </c>
      <c r="E267" s="3" t="s">
        <v>33</v>
      </c>
      <c r="F267" s="3" t="s">
        <v>23</v>
      </c>
      <c r="G267" s="3" t="s">
        <v>34</v>
      </c>
      <c r="H267" s="2" t="n">
        <v>9</v>
      </c>
      <c r="I267" s="2" t="n">
        <v>3</v>
      </c>
      <c r="J267" s="4" t="n">
        <v>311.26</v>
      </c>
      <c r="K267" s="4" t="n">
        <v>123.05</v>
      </c>
      <c r="L267" s="5" t="n">
        <f aca="false">IF(H267=0,0,I267/H267)</f>
        <v>0.333333333333333</v>
      </c>
      <c r="M267" s="6" t="n">
        <f aca="false">IF(I267=0,0,J267/I267)</f>
        <v>103.753333333333</v>
      </c>
    </row>
    <row r="268" customFormat="false" ht="15" hidden="false" customHeight="false" outlineLevel="0" collapsed="false">
      <c r="A268" s="2" t="n">
        <v>267</v>
      </c>
      <c r="B268" s="3" t="s">
        <v>74</v>
      </c>
      <c r="C268" s="3" t="s">
        <v>65</v>
      </c>
      <c r="D268" s="3" t="s">
        <v>24</v>
      </c>
      <c r="E268" s="3" t="s">
        <v>16</v>
      </c>
      <c r="F268" s="3" t="s">
        <v>23</v>
      </c>
      <c r="G268" s="3" t="s">
        <v>30</v>
      </c>
      <c r="H268" s="2" t="n">
        <v>8</v>
      </c>
      <c r="I268" s="2" t="n">
        <v>1</v>
      </c>
      <c r="J268" s="4" t="n">
        <v>242.29</v>
      </c>
      <c r="K268" s="4" t="n">
        <v>65.19</v>
      </c>
      <c r="L268" s="5" t="n">
        <f aca="false">IF(H268=0,0,I268/H268)</f>
        <v>0.125</v>
      </c>
      <c r="M268" s="6" t="n">
        <f aca="false">IF(I268=0,0,J268/I268)</f>
        <v>242.29</v>
      </c>
    </row>
    <row r="269" customFormat="false" ht="15" hidden="false" customHeight="false" outlineLevel="0" collapsed="false">
      <c r="A269" s="2" t="n">
        <v>268</v>
      </c>
      <c r="B269" s="3" t="s">
        <v>74</v>
      </c>
      <c r="C269" s="3" t="s">
        <v>65</v>
      </c>
      <c r="D269" s="3" t="s">
        <v>24</v>
      </c>
      <c r="E269" s="3" t="s">
        <v>28</v>
      </c>
      <c r="F269" s="3" t="s">
        <v>23</v>
      </c>
      <c r="G269" s="3" t="s">
        <v>26</v>
      </c>
      <c r="H269" s="2" t="n">
        <v>3</v>
      </c>
      <c r="I269" s="2" t="n">
        <v>0</v>
      </c>
      <c r="J269" s="4" t="n">
        <v>0</v>
      </c>
      <c r="K269" s="4" t="n">
        <v>0</v>
      </c>
      <c r="L269" s="5" t="n">
        <f aca="false">IF(H269=0,0,I269/H269)</f>
        <v>0</v>
      </c>
      <c r="M269" s="6" t="n">
        <f aca="false">IF(I269=0,0,J269/I269)</f>
        <v>0</v>
      </c>
    </row>
    <row r="270" customFormat="false" ht="15" hidden="false" customHeight="false" outlineLevel="0" collapsed="false">
      <c r="A270" s="2" t="n">
        <v>269</v>
      </c>
      <c r="B270" s="3" t="s">
        <v>74</v>
      </c>
      <c r="C270" s="3" t="s">
        <v>65</v>
      </c>
      <c r="D270" s="3" t="s">
        <v>24</v>
      </c>
      <c r="E270" s="3" t="s">
        <v>33</v>
      </c>
      <c r="F270" s="3" t="s">
        <v>23</v>
      </c>
      <c r="G270" s="3" t="s">
        <v>26</v>
      </c>
      <c r="H270" s="2" t="n">
        <v>8</v>
      </c>
      <c r="I270" s="2" t="n">
        <v>2</v>
      </c>
      <c r="J270" s="4" t="n">
        <v>696.27</v>
      </c>
      <c r="K270" s="4" t="n">
        <v>183.71</v>
      </c>
      <c r="L270" s="5" t="n">
        <f aca="false">IF(H270=0,0,I270/H270)</f>
        <v>0.25</v>
      </c>
      <c r="M270" s="6" t="n">
        <f aca="false">IF(I270=0,0,J270/I270)</f>
        <v>348.135</v>
      </c>
    </row>
    <row r="271" customFormat="false" ht="15" hidden="false" customHeight="false" outlineLevel="0" collapsed="false">
      <c r="A271" s="2" t="n">
        <v>270</v>
      </c>
      <c r="B271" s="3" t="s">
        <v>74</v>
      </c>
      <c r="C271" s="3" t="s">
        <v>65</v>
      </c>
      <c r="D271" s="3" t="s">
        <v>19</v>
      </c>
      <c r="E271" s="3" t="s">
        <v>28</v>
      </c>
      <c r="F271" s="3" t="s">
        <v>23</v>
      </c>
      <c r="G271" s="3" t="s">
        <v>26</v>
      </c>
      <c r="H271" s="2" t="n">
        <v>10</v>
      </c>
      <c r="I271" s="2" t="n">
        <v>4</v>
      </c>
      <c r="J271" s="4" t="n">
        <v>2732.34</v>
      </c>
      <c r="K271" s="4" t="n">
        <v>404.15</v>
      </c>
      <c r="L271" s="5" t="n">
        <f aca="false">IF(H271=0,0,I271/H271)</f>
        <v>0.4</v>
      </c>
      <c r="M271" s="6" t="n">
        <f aca="false">IF(I271=0,0,J271/I271)</f>
        <v>683.085</v>
      </c>
    </row>
    <row r="272" customFormat="false" ht="15" hidden="false" customHeight="false" outlineLevel="0" collapsed="false">
      <c r="A272" s="2" t="n">
        <v>271</v>
      </c>
      <c r="B272" s="3" t="s">
        <v>74</v>
      </c>
      <c r="C272" s="3" t="s">
        <v>65</v>
      </c>
      <c r="D272" s="3" t="s">
        <v>22</v>
      </c>
      <c r="E272" s="3" t="s">
        <v>16</v>
      </c>
      <c r="F272" s="3" t="s">
        <v>20</v>
      </c>
      <c r="G272" s="3" t="s">
        <v>26</v>
      </c>
      <c r="H272" s="2" t="n">
        <v>7</v>
      </c>
      <c r="I272" s="2" t="n">
        <v>3</v>
      </c>
      <c r="J272" s="4" t="n">
        <v>430.77</v>
      </c>
      <c r="K272" s="4" t="n">
        <v>193.83</v>
      </c>
      <c r="L272" s="5" t="n">
        <f aca="false">IF(H272=0,0,I272/H272)</f>
        <v>0.428571428571429</v>
      </c>
      <c r="M272" s="6" t="n">
        <f aca="false">IF(I272=0,0,J272/I272)</f>
        <v>143.59</v>
      </c>
    </row>
    <row r="273" customFormat="false" ht="15" hidden="false" customHeight="false" outlineLevel="0" collapsed="false">
      <c r="A273" s="2" t="n">
        <v>272</v>
      </c>
      <c r="B273" s="3" t="s">
        <v>74</v>
      </c>
      <c r="C273" s="3" t="s">
        <v>65</v>
      </c>
      <c r="D273" s="3" t="s">
        <v>22</v>
      </c>
      <c r="E273" s="3" t="s">
        <v>28</v>
      </c>
      <c r="F273" s="3" t="s">
        <v>23</v>
      </c>
      <c r="G273" s="3" t="s">
        <v>34</v>
      </c>
      <c r="H273" s="2" t="n">
        <v>8</v>
      </c>
      <c r="I273" s="2" t="n">
        <v>1</v>
      </c>
      <c r="J273" s="4" t="n">
        <v>144.16</v>
      </c>
      <c r="K273" s="4" t="n">
        <v>62.26</v>
      </c>
      <c r="L273" s="5" t="n">
        <f aca="false">IF(H273=0,0,I273/H273)</f>
        <v>0.125</v>
      </c>
      <c r="M273" s="6" t="n">
        <f aca="false">IF(I273=0,0,J273/I273)</f>
        <v>144.16</v>
      </c>
    </row>
    <row r="274" customFormat="false" ht="15" hidden="false" customHeight="false" outlineLevel="0" collapsed="false">
      <c r="A274" s="2" t="n">
        <v>273</v>
      </c>
      <c r="B274" s="3" t="s">
        <v>75</v>
      </c>
      <c r="C274" s="3" t="s">
        <v>65</v>
      </c>
      <c r="D274" s="3" t="s">
        <v>19</v>
      </c>
      <c r="E274" s="3" t="s">
        <v>25</v>
      </c>
      <c r="F274" s="3" t="s">
        <v>23</v>
      </c>
      <c r="G274" s="3" t="s">
        <v>21</v>
      </c>
      <c r="H274" s="2" t="n">
        <v>9</v>
      </c>
      <c r="I274" s="2" t="n">
        <v>0</v>
      </c>
      <c r="J274" s="4" t="n">
        <v>0</v>
      </c>
      <c r="K274" s="4" t="n">
        <v>0</v>
      </c>
      <c r="L274" s="5" t="n">
        <f aca="false">IF(H274=0,0,I274/H274)</f>
        <v>0</v>
      </c>
      <c r="M274" s="6" t="n">
        <f aca="false">IF(I274=0,0,J274/I274)</f>
        <v>0</v>
      </c>
    </row>
    <row r="275" customFormat="false" ht="15" hidden="false" customHeight="false" outlineLevel="0" collapsed="false">
      <c r="A275" s="2" t="n">
        <v>274</v>
      </c>
      <c r="B275" s="3" t="s">
        <v>75</v>
      </c>
      <c r="C275" s="3" t="s">
        <v>65</v>
      </c>
      <c r="D275" s="3" t="s">
        <v>22</v>
      </c>
      <c r="E275" s="3" t="s">
        <v>16</v>
      </c>
      <c r="F275" s="3" t="s">
        <v>23</v>
      </c>
      <c r="G275" s="3" t="s">
        <v>21</v>
      </c>
      <c r="H275" s="2" t="n">
        <v>3</v>
      </c>
      <c r="I275" s="2" t="n">
        <v>0</v>
      </c>
      <c r="J275" s="4" t="n">
        <v>0</v>
      </c>
      <c r="K275" s="4" t="n">
        <v>0</v>
      </c>
      <c r="L275" s="5" t="n">
        <f aca="false">IF(H275=0,0,I275/H275)</f>
        <v>0</v>
      </c>
      <c r="M275" s="6" t="n">
        <f aca="false">IF(I275=0,0,J275/I275)</f>
        <v>0</v>
      </c>
    </row>
    <row r="276" customFormat="false" ht="15" hidden="false" customHeight="false" outlineLevel="0" collapsed="false">
      <c r="A276" s="2" t="n">
        <v>275</v>
      </c>
      <c r="B276" s="3" t="s">
        <v>75</v>
      </c>
      <c r="C276" s="3" t="s">
        <v>65</v>
      </c>
      <c r="D276" s="3" t="s">
        <v>22</v>
      </c>
      <c r="E276" s="3" t="s">
        <v>28</v>
      </c>
      <c r="F276" s="3" t="s">
        <v>20</v>
      </c>
      <c r="G276" s="3" t="s">
        <v>18</v>
      </c>
      <c r="H276" s="2" t="n">
        <v>9</v>
      </c>
      <c r="I276" s="2" t="n">
        <v>3</v>
      </c>
      <c r="J276" s="4" t="n">
        <v>467.16</v>
      </c>
      <c r="K276" s="4" t="n">
        <v>194.17</v>
      </c>
      <c r="L276" s="5" t="n">
        <f aca="false">IF(H276=0,0,I276/H276)</f>
        <v>0.333333333333333</v>
      </c>
      <c r="M276" s="6" t="n">
        <f aca="false">IF(I276=0,0,J276/I276)</f>
        <v>155.72</v>
      </c>
    </row>
    <row r="277" customFormat="false" ht="15" hidden="false" customHeight="false" outlineLevel="0" collapsed="false">
      <c r="A277" s="2" t="n">
        <v>276</v>
      </c>
      <c r="B277" s="3" t="s">
        <v>75</v>
      </c>
      <c r="C277" s="3" t="s">
        <v>65</v>
      </c>
      <c r="D277" s="3" t="s">
        <v>27</v>
      </c>
      <c r="E277" s="3" t="s">
        <v>16</v>
      </c>
      <c r="F277" s="3" t="s">
        <v>23</v>
      </c>
      <c r="G277" s="3" t="s">
        <v>34</v>
      </c>
      <c r="H277" s="2" t="n">
        <v>1</v>
      </c>
      <c r="I277" s="2" t="n">
        <v>1</v>
      </c>
      <c r="J277" s="4" t="n">
        <v>1760.49</v>
      </c>
      <c r="K277" s="4" t="n">
        <v>329.17</v>
      </c>
      <c r="L277" s="5" t="n">
        <f aca="false">IF(H277=0,0,I277/H277)</f>
        <v>1</v>
      </c>
      <c r="M277" s="6" t="n">
        <f aca="false">IF(I277=0,0,J277/I277)</f>
        <v>1760.49</v>
      </c>
    </row>
    <row r="278" customFormat="false" ht="15" hidden="false" customHeight="false" outlineLevel="0" collapsed="false">
      <c r="A278" s="2" t="n">
        <v>277</v>
      </c>
      <c r="B278" s="3" t="s">
        <v>75</v>
      </c>
      <c r="C278" s="3" t="s">
        <v>65</v>
      </c>
      <c r="D278" s="3" t="s">
        <v>19</v>
      </c>
      <c r="E278" s="3" t="s">
        <v>16</v>
      </c>
      <c r="F278" s="3" t="s">
        <v>23</v>
      </c>
      <c r="G278" s="3" t="s">
        <v>21</v>
      </c>
      <c r="H278" s="2" t="n">
        <v>4</v>
      </c>
      <c r="I278" s="2" t="n">
        <v>1</v>
      </c>
      <c r="J278" s="4" t="n">
        <v>969.89</v>
      </c>
      <c r="K278" s="4" t="n">
        <v>130.02</v>
      </c>
      <c r="L278" s="5" t="n">
        <f aca="false">IF(H278=0,0,I278/H278)</f>
        <v>0.25</v>
      </c>
      <c r="M278" s="6" t="n">
        <f aca="false">IF(I278=0,0,J278/I278)</f>
        <v>969.89</v>
      </c>
    </row>
    <row r="279" customFormat="false" ht="15" hidden="false" customHeight="false" outlineLevel="0" collapsed="false">
      <c r="A279" s="2" t="n">
        <v>278</v>
      </c>
      <c r="B279" s="3" t="s">
        <v>75</v>
      </c>
      <c r="C279" s="3" t="s">
        <v>65</v>
      </c>
      <c r="D279" s="3" t="s">
        <v>15</v>
      </c>
      <c r="E279" s="3" t="s">
        <v>28</v>
      </c>
      <c r="F279" s="3" t="s">
        <v>23</v>
      </c>
      <c r="G279" s="3" t="s">
        <v>21</v>
      </c>
      <c r="H279" s="2" t="n">
        <v>4</v>
      </c>
      <c r="I279" s="2" t="n">
        <v>0</v>
      </c>
      <c r="J279" s="4" t="n">
        <v>0</v>
      </c>
      <c r="K279" s="4" t="n">
        <v>0</v>
      </c>
      <c r="L279" s="5" t="n">
        <f aca="false">IF(H279=0,0,I279/H279)</f>
        <v>0</v>
      </c>
      <c r="M279" s="6" t="n">
        <f aca="false">IF(I279=0,0,J279/I279)</f>
        <v>0</v>
      </c>
    </row>
    <row r="280" customFormat="false" ht="15" hidden="false" customHeight="false" outlineLevel="0" collapsed="false">
      <c r="A280" s="2" t="n">
        <v>279</v>
      </c>
      <c r="B280" s="3" t="s">
        <v>75</v>
      </c>
      <c r="C280" s="3" t="s">
        <v>65</v>
      </c>
      <c r="D280" s="3" t="s">
        <v>15</v>
      </c>
      <c r="E280" s="3" t="s">
        <v>28</v>
      </c>
      <c r="F280" s="3" t="s">
        <v>23</v>
      </c>
      <c r="G280" s="3" t="s">
        <v>21</v>
      </c>
      <c r="H280" s="2" t="n">
        <v>7</v>
      </c>
      <c r="I280" s="2" t="n">
        <v>3</v>
      </c>
      <c r="J280" s="4" t="n">
        <v>511.23</v>
      </c>
      <c r="K280" s="4" t="n">
        <v>154.22</v>
      </c>
      <c r="L280" s="5" t="n">
        <f aca="false">IF(H280=0,0,I280/H280)</f>
        <v>0.428571428571429</v>
      </c>
      <c r="M280" s="6" t="n">
        <f aca="false">IF(I280=0,0,J280/I280)</f>
        <v>170.41</v>
      </c>
    </row>
    <row r="281" customFormat="false" ht="15" hidden="false" customHeight="false" outlineLevel="0" collapsed="false">
      <c r="A281" s="2" t="n">
        <v>280</v>
      </c>
      <c r="B281" s="3" t="s">
        <v>75</v>
      </c>
      <c r="C281" s="3" t="s">
        <v>65</v>
      </c>
      <c r="D281" s="3" t="s">
        <v>15</v>
      </c>
      <c r="E281" s="3" t="s">
        <v>16</v>
      </c>
      <c r="F281" s="3" t="s">
        <v>17</v>
      </c>
      <c r="G281" s="3" t="s">
        <v>26</v>
      </c>
      <c r="H281" s="2" t="n">
        <v>6</v>
      </c>
      <c r="I281" s="2" t="n">
        <v>1</v>
      </c>
      <c r="J281" s="4" t="n">
        <v>148.92</v>
      </c>
      <c r="K281" s="4" t="n">
        <v>42.7</v>
      </c>
      <c r="L281" s="5" t="n">
        <f aca="false">IF(H281=0,0,I281/H281)</f>
        <v>0.166666666666667</v>
      </c>
      <c r="M281" s="6" t="n">
        <f aca="false">IF(I281=0,0,J281/I281)</f>
        <v>148.92</v>
      </c>
    </row>
    <row r="282" customFormat="false" ht="15" hidden="false" customHeight="false" outlineLevel="0" collapsed="false">
      <c r="A282" s="2" t="n">
        <v>281</v>
      </c>
      <c r="B282" s="3" t="s">
        <v>75</v>
      </c>
      <c r="C282" s="3" t="s">
        <v>65</v>
      </c>
      <c r="D282" s="3" t="s">
        <v>22</v>
      </c>
      <c r="E282" s="3" t="s">
        <v>25</v>
      </c>
      <c r="F282" s="3" t="s">
        <v>17</v>
      </c>
      <c r="G282" s="3" t="s">
        <v>30</v>
      </c>
      <c r="H282" s="2" t="n">
        <v>4</v>
      </c>
      <c r="I282" s="2" t="n">
        <v>1</v>
      </c>
      <c r="J282" s="4" t="n">
        <v>111.15</v>
      </c>
      <c r="K282" s="4" t="n">
        <v>44.18</v>
      </c>
      <c r="L282" s="5" t="n">
        <f aca="false">IF(H282=0,0,I282/H282)</f>
        <v>0.25</v>
      </c>
      <c r="M282" s="6" t="n">
        <f aca="false">IF(I282=0,0,J282/I282)</f>
        <v>111.15</v>
      </c>
    </row>
    <row r="283" customFormat="false" ht="15" hidden="false" customHeight="false" outlineLevel="0" collapsed="false">
      <c r="A283" s="2" t="n">
        <v>282</v>
      </c>
      <c r="B283" s="3" t="s">
        <v>75</v>
      </c>
      <c r="C283" s="3" t="s">
        <v>65</v>
      </c>
      <c r="D283" s="3" t="s">
        <v>15</v>
      </c>
      <c r="E283" s="3" t="s">
        <v>16</v>
      </c>
      <c r="F283" s="3" t="s">
        <v>20</v>
      </c>
      <c r="G283" s="3" t="s">
        <v>26</v>
      </c>
      <c r="H283" s="2" t="n">
        <v>2</v>
      </c>
      <c r="I283" s="2" t="n">
        <v>1</v>
      </c>
      <c r="J283" s="4" t="n">
        <v>154.9</v>
      </c>
      <c r="K283" s="4" t="n">
        <v>44.03</v>
      </c>
      <c r="L283" s="5" t="n">
        <f aca="false">IF(H283=0,0,I283/H283)</f>
        <v>0.5</v>
      </c>
      <c r="M283" s="6" t="n">
        <f aca="false">IF(I283=0,0,J283/I283)</f>
        <v>154.9</v>
      </c>
    </row>
    <row r="284" customFormat="false" ht="15" hidden="false" customHeight="false" outlineLevel="0" collapsed="false">
      <c r="A284" s="2" t="n">
        <v>283</v>
      </c>
      <c r="B284" s="3" t="s">
        <v>75</v>
      </c>
      <c r="C284" s="3" t="s">
        <v>65</v>
      </c>
      <c r="D284" s="3" t="s">
        <v>22</v>
      </c>
      <c r="E284" s="3" t="s">
        <v>33</v>
      </c>
      <c r="F284" s="3" t="s">
        <v>23</v>
      </c>
      <c r="G284" s="3" t="s">
        <v>26</v>
      </c>
      <c r="H284" s="2" t="n">
        <v>7</v>
      </c>
      <c r="I284" s="2" t="n">
        <v>1</v>
      </c>
      <c r="J284" s="4" t="n">
        <v>109.07</v>
      </c>
      <c r="K284" s="4" t="n">
        <v>44.91</v>
      </c>
      <c r="L284" s="5" t="n">
        <f aca="false">IF(H284=0,0,I284/H284)</f>
        <v>0.142857142857143</v>
      </c>
      <c r="M284" s="6" t="n">
        <f aca="false">IF(I284=0,0,J284/I284)</f>
        <v>109.07</v>
      </c>
    </row>
    <row r="285" customFormat="false" ht="15" hidden="false" customHeight="false" outlineLevel="0" collapsed="false">
      <c r="A285" s="2" t="n">
        <v>284</v>
      </c>
      <c r="B285" s="3" t="s">
        <v>75</v>
      </c>
      <c r="C285" s="3" t="s">
        <v>65</v>
      </c>
      <c r="D285" s="3" t="s">
        <v>22</v>
      </c>
      <c r="E285" s="3" t="s">
        <v>25</v>
      </c>
      <c r="F285" s="3" t="s">
        <v>23</v>
      </c>
      <c r="G285" s="3" t="s">
        <v>26</v>
      </c>
      <c r="H285" s="2" t="n">
        <v>7</v>
      </c>
      <c r="I285" s="2" t="n">
        <v>3</v>
      </c>
      <c r="J285" s="4" t="n">
        <v>313.66</v>
      </c>
      <c r="K285" s="4" t="n">
        <v>125.12</v>
      </c>
      <c r="L285" s="5" t="n">
        <f aca="false">IF(H285=0,0,I285/H285)</f>
        <v>0.428571428571429</v>
      </c>
      <c r="M285" s="6" t="n">
        <f aca="false">IF(I285=0,0,J285/I285)</f>
        <v>104.553333333333</v>
      </c>
    </row>
    <row r="286" customFormat="false" ht="15" hidden="false" customHeight="false" outlineLevel="0" collapsed="false">
      <c r="A286" s="2" t="n">
        <v>285</v>
      </c>
      <c r="B286" s="3" t="s">
        <v>75</v>
      </c>
      <c r="C286" s="3" t="s">
        <v>65</v>
      </c>
      <c r="D286" s="3" t="s">
        <v>27</v>
      </c>
      <c r="E286" s="3" t="s">
        <v>16</v>
      </c>
      <c r="F286" s="3" t="s">
        <v>23</v>
      </c>
      <c r="G286" s="3" t="s">
        <v>26</v>
      </c>
      <c r="H286" s="2" t="n">
        <v>4</v>
      </c>
      <c r="I286" s="2" t="n">
        <v>1</v>
      </c>
      <c r="J286" s="4" t="n">
        <v>1174.17</v>
      </c>
      <c r="K286" s="4" t="n">
        <v>227.62</v>
      </c>
      <c r="L286" s="5" t="n">
        <f aca="false">IF(H286=0,0,I286/H286)</f>
        <v>0.25</v>
      </c>
      <c r="M286" s="6" t="n">
        <f aca="false">IF(I286=0,0,J286/I286)</f>
        <v>1174.17</v>
      </c>
    </row>
    <row r="287" customFormat="false" ht="15" hidden="false" customHeight="false" outlineLevel="0" collapsed="false">
      <c r="A287" s="2" t="n">
        <v>286</v>
      </c>
      <c r="B287" s="3" t="s">
        <v>75</v>
      </c>
      <c r="C287" s="3" t="s">
        <v>65</v>
      </c>
      <c r="D287" s="3" t="s">
        <v>22</v>
      </c>
      <c r="E287" s="3" t="s">
        <v>33</v>
      </c>
      <c r="F287" s="3" t="s">
        <v>23</v>
      </c>
      <c r="G287" s="3" t="s">
        <v>26</v>
      </c>
      <c r="H287" s="2" t="n">
        <v>8</v>
      </c>
      <c r="I287" s="2" t="n">
        <v>2</v>
      </c>
      <c r="J287" s="4" t="n">
        <v>226.99</v>
      </c>
      <c r="K287" s="4" t="n">
        <v>89.97</v>
      </c>
      <c r="L287" s="5" t="n">
        <f aca="false">IF(H287=0,0,I287/H287)</f>
        <v>0.25</v>
      </c>
      <c r="M287" s="6" t="n">
        <f aca="false">IF(I287=0,0,J287/I287)</f>
        <v>113.495</v>
      </c>
    </row>
    <row r="288" customFormat="false" ht="15" hidden="false" customHeight="false" outlineLevel="0" collapsed="false">
      <c r="A288" s="2" t="n">
        <v>287</v>
      </c>
      <c r="B288" s="3" t="s">
        <v>76</v>
      </c>
      <c r="C288" s="3" t="s">
        <v>65</v>
      </c>
      <c r="D288" s="3" t="s">
        <v>24</v>
      </c>
      <c r="E288" s="3" t="s">
        <v>16</v>
      </c>
      <c r="F288" s="3" t="s">
        <v>29</v>
      </c>
      <c r="G288" s="3" t="s">
        <v>34</v>
      </c>
      <c r="H288" s="2" t="n">
        <v>7</v>
      </c>
      <c r="I288" s="2" t="n">
        <v>1</v>
      </c>
      <c r="J288" s="4" t="n">
        <v>341.46</v>
      </c>
      <c r="K288" s="4" t="n">
        <v>88.44</v>
      </c>
      <c r="L288" s="5" t="n">
        <f aca="false">IF(H288=0,0,I288/H288)</f>
        <v>0.142857142857143</v>
      </c>
      <c r="M288" s="6" t="n">
        <f aca="false">IF(I288=0,0,J288/I288)</f>
        <v>341.46</v>
      </c>
    </row>
    <row r="289" customFormat="false" ht="15" hidden="false" customHeight="false" outlineLevel="0" collapsed="false">
      <c r="A289" s="2" t="n">
        <v>288</v>
      </c>
      <c r="B289" s="3" t="s">
        <v>76</v>
      </c>
      <c r="C289" s="3" t="s">
        <v>65</v>
      </c>
      <c r="D289" s="3" t="s">
        <v>22</v>
      </c>
      <c r="E289" s="3" t="s">
        <v>16</v>
      </c>
      <c r="F289" s="3" t="s">
        <v>23</v>
      </c>
      <c r="G289" s="3" t="s">
        <v>30</v>
      </c>
      <c r="H289" s="2" t="n">
        <v>2</v>
      </c>
      <c r="I289" s="2" t="n">
        <v>0</v>
      </c>
      <c r="J289" s="4" t="n">
        <v>0</v>
      </c>
      <c r="K289" s="4" t="n">
        <v>0</v>
      </c>
      <c r="L289" s="5" t="n">
        <f aca="false">IF(H289=0,0,I289/H289)</f>
        <v>0</v>
      </c>
      <c r="M289" s="6" t="n">
        <f aca="false">IF(I289=0,0,J289/I289)</f>
        <v>0</v>
      </c>
    </row>
    <row r="290" customFormat="false" ht="15" hidden="false" customHeight="false" outlineLevel="0" collapsed="false">
      <c r="A290" s="2" t="n">
        <v>289</v>
      </c>
      <c r="B290" s="3" t="s">
        <v>76</v>
      </c>
      <c r="C290" s="3" t="s">
        <v>65</v>
      </c>
      <c r="D290" s="3" t="s">
        <v>27</v>
      </c>
      <c r="E290" s="3" t="s">
        <v>16</v>
      </c>
      <c r="F290" s="3" t="s">
        <v>17</v>
      </c>
      <c r="G290" s="3" t="s">
        <v>21</v>
      </c>
      <c r="H290" s="2" t="n">
        <v>8</v>
      </c>
      <c r="I290" s="2" t="n">
        <v>2</v>
      </c>
      <c r="J290" s="4" t="n">
        <v>2715.42</v>
      </c>
      <c r="K290" s="4" t="n">
        <v>524.13</v>
      </c>
      <c r="L290" s="5" t="n">
        <f aca="false">IF(H290=0,0,I290/H290)</f>
        <v>0.25</v>
      </c>
      <c r="M290" s="6" t="n">
        <f aca="false">IF(I290=0,0,J290/I290)</f>
        <v>1357.71</v>
      </c>
    </row>
    <row r="291" customFormat="false" ht="15" hidden="false" customHeight="false" outlineLevel="0" collapsed="false">
      <c r="A291" s="2" t="n">
        <v>290</v>
      </c>
      <c r="B291" s="3" t="s">
        <v>76</v>
      </c>
      <c r="C291" s="3" t="s">
        <v>65</v>
      </c>
      <c r="D291" s="3" t="s">
        <v>15</v>
      </c>
      <c r="E291" s="3" t="s">
        <v>25</v>
      </c>
      <c r="F291" s="3" t="s">
        <v>17</v>
      </c>
      <c r="G291" s="3" t="s">
        <v>34</v>
      </c>
      <c r="H291" s="2" t="n">
        <v>6</v>
      </c>
      <c r="I291" s="2" t="n">
        <v>1</v>
      </c>
      <c r="J291" s="4" t="n">
        <v>229.17</v>
      </c>
      <c r="K291" s="4" t="n">
        <v>65.34</v>
      </c>
      <c r="L291" s="5" t="n">
        <f aca="false">IF(H291=0,0,I291/H291)</f>
        <v>0.166666666666667</v>
      </c>
      <c r="M291" s="6" t="n">
        <f aca="false">IF(I291=0,0,J291/I291)</f>
        <v>229.17</v>
      </c>
    </row>
    <row r="292" customFormat="false" ht="15" hidden="false" customHeight="false" outlineLevel="0" collapsed="false">
      <c r="A292" s="2" t="n">
        <v>291</v>
      </c>
      <c r="B292" s="3" t="s">
        <v>76</v>
      </c>
      <c r="C292" s="3" t="s">
        <v>65</v>
      </c>
      <c r="D292" s="3" t="s">
        <v>27</v>
      </c>
      <c r="E292" s="3" t="s">
        <v>25</v>
      </c>
      <c r="F292" s="3" t="s">
        <v>23</v>
      </c>
      <c r="G292" s="3" t="s">
        <v>18</v>
      </c>
      <c r="H292" s="2" t="n">
        <v>11</v>
      </c>
      <c r="I292" s="2" t="n">
        <v>1</v>
      </c>
      <c r="J292" s="4" t="n">
        <v>1624.82</v>
      </c>
      <c r="K292" s="4" t="n">
        <v>290.14</v>
      </c>
      <c r="L292" s="5" t="n">
        <f aca="false">IF(H292=0,0,I292/H292)</f>
        <v>0.0909090909090909</v>
      </c>
      <c r="M292" s="6" t="n">
        <f aca="false">IF(I292=0,0,J292/I292)</f>
        <v>1624.82</v>
      </c>
    </row>
    <row r="293" customFormat="false" ht="15" hidden="false" customHeight="false" outlineLevel="0" collapsed="false">
      <c r="A293" s="2" t="n">
        <v>292</v>
      </c>
      <c r="B293" s="3" t="s">
        <v>76</v>
      </c>
      <c r="C293" s="3" t="s">
        <v>65</v>
      </c>
      <c r="D293" s="3" t="s">
        <v>15</v>
      </c>
      <c r="E293" s="3" t="s">
        <v>16</v>
      </c>
      <c r="F293" s="3" t="s">
        <v>20</v>
      </c>
      <c r="G293" s="3" t="s">
        <v>34</v>
      </c>
      <c r="H293" s="2" t="n">
        <v>3</v>
      </c>
      <c r="I293" s="2" t="n">
        <v>0</v>
      </c>
      <c r="J293" s="4" t="n">
        <v>0</v>
      </c>
      <c r="K293" s="4" t="n">
        <v>0</v>
      </c>
      <c r="L293" s="5" t="n">
        <f aca="false">IF(H293=0,0,I293/H293)</f>
        <v>0</v>
      </c>
      <c r="M293" s="6" t="n">
        <f aca="false">IF(I293=0,0,J293/I293)</f>
        <v>0</v>
      </c>
    </row>
    <row r="294" customFormat="false" ht="15" hidden="false" customHeight="false" outlineLevel="0" collapsed="false">
      <c r="A294" s="2" t="n">
        <v>293</v>
      </c>
      <c r="B294" s="3" t="s">
        <v>76</v>
      </c>
      <c r="C294" s="3" t="s">
        <v>65</v>
      </c>
      <c r="D294" s="3" t="s">
        <v>22</v>
      </c>
      <c r="E294" s="3" t="s">
        <v>25</v>
      </c>
      <c r="F294" s="3" t="s">
        <v>29</v>
      </c>
      <c r="G294" s="3" t="s">
        <v>34</v>
      </c>
      <c r="H294" s="2" t="n">
        <v>6</v>
      </c>
      <c r="I294" s="2" t="n">
        <v>0</v>
      </c>
      <c r="J294" s="4" t="n">
        <v>0</v>
      </c>
      <c r="K294" s="4" t="n">
        <v>0</v>
      </c>
      <c r="L294" s="5" t="n">
        <f aca="false">IF(H294=0,0,I294/H294)</f>
        <v>0</v>
      </c>
      <c r="M294" s="6" t="n">
        <f aca="false">IF(I294=0,0,J294/I294)</f>
        <v>0</v>
      </c>
    </row>
    <row r="295" customFormat="false" ht="15" hidden="false" customHeight="false" outlineLevel="0" collapsed="false">
      <c r="A295" s="2" t="n">
        <v>294</v>
      </c>
      <c r="B295" s="3" t="s">
        <v>76</v>
      </c>
      <c r="C295" s="3" t="s">
        <v>65</v>
      </c>
      <c r="D295" s="3" t="s">
        <v>24</v>
      </c>
      <c r="E295" s="3" t="s">
        <v>33</v>
      </c>
      <c r="F295" s="3" t="s">
        <v>20</v>
      </c>
      <c r="G295" s="3" t="s">
        <v>18</v>
      </c>
      <c r="H295" s="2" t="n">
        <v>10</v>
      </c>
      <c r="I295" s="2" t="n">
        <v>4</v>
      </c>
      <c r="J295" s="4" t="n">
        <v>1218.31</v>
      </c>
      <c r="K295" s="4" t="n">
        <v>296.09</v>
      </c>
      <c r="L295" s="5" t="n">
        <f aca="false">IF(H295=0,0,I295/H295)</f>
        <v>0.4</v>
      </c>
      <c r="M295" s="6" t="n">
        <f aca="false">IF(I295=0,0,J295/I295)</f>
        <v>304.5775</v>
      </c>
    </row>
    <row r="296" customFormat="false" ht="15" hidden="false" customHeight="false" outlineLevel="0" collapsed="false">
      <c r="A296" s="2" t="n">
        <v>295</v>
      </c>
      <c r="B296" s="3" t="s">
        <v>77</v>
      </c>
      <c r="C296" s="3" t="s">
        <v>65</v>
      </c>
      <c r="D296" s="3" t="s">
        <v>15</v>
      </c>
      <c r="E296" s="3" t="s">
        <v>33</v>
      </c>
      <c r="F296" s="3" t="s">
        <v>29</v>
      </c>
      <c r="G296" s="3" t="s">
        <v>34</v>
      </c>
      <c r="H296" s="2" t="n">
        <v>3</v>
      </c>
      <c r="I296" s="2" t="n">
        <v>1</v>
      </c>
      <c r="J296" s="4" t="n">
        <v>232.15</v>
      </c>
      <c r="K296" s="4" t="n">
        <v>71.51</v>
      </c>
      <c r="L296" s="5" t="n">
        <f aca="false">IF(H296=0,0,I296/H296)</f>
        <v>0.333333333333333</v>
      </c>
      <c r="M296" s="6" t="n">
        <f aca="false">IF(I296=0,0,J296/I296)</f>
        <v>232.15</v>
      </c>
    </row>
    <row r="297" customFormat="false" ht="15" hidden="false" customHeight="false" outlineLevel="0" collapsed="false">
      <c r="A297" s="2" t="n">
        <v>296</v>
      </c>
      <c r="B297" s="3" t="s">
        <v>77</v>
      </c>
      <c r="C297" s="3" t="s">
        <v>65</v>
      </c>
      <c r="D297" s="3" t="s">
        <v>22</v>
      </c>
      <c r="E297" s="3" t="s">
        <v>28</v>
      </c>
      <c r="F297" s="3" t="s">
        <v>29</v>
      </c>
      <c r="G297" s="3" t="s">
        <v>18</v>
      </c>
      <c r="H297" s="2" t="n">
        <v>7</v>
      </c>
      <c r="I297" s="2" t="n">
        <v>1</v>
      </c>
      <c r="J297" s="4" t="n">
        <v>136.69</v>
      </c>
      <c r="K297" s="4" t="n">
        <v>59.36</v>
      </c>
      <c r="L297" s="5" t="n">
        <f aca="false">IF(H297=0,0,I297/H297)</f>
        <v>0.142857142857143</v>
      </c>
      <c r="M297" s="6" t="n">
        <f aca="false">IF(I297=0,0,J297/I297)</f>
        <v>136.69</v>
      </c>
    </row>
    <row r="298" customFormat="false" ht="15" hidden="false" customHeight="false" outlineLevel="0" collapsed="false">
      <c r="A298" s="2" t="n">
        <v>297</v>
      </c>
      <c r="B298" s="3" t="s">
        <v>77</v>
      </c>
      <c r="C298" s="3" t="s">
        <v>65</v>
      </c>
      <c r="D298" s="3" t="s">
        <v>27</v>
      </c>
      <c r="E298" s="3" t="s">
        <v>25</v>
      </c>
      <c r="F298" s="3" t="s">
        <v>23</v>
      </c>
      <c r="G298" s="3" t="s">
        <v>18</v>
      </c>
      <c r="H298" s="2" t="n">
        <v>9</v>
      </c>
      <c r="I298" s="2" t="n">
        <v>2</v>
      </c>
      <c r="J298" s="4" t="n">
        <v>2471.31</v>
      </c>
      <c r="K298" s="4" t="n">
        <v>415.3</v>
      </c>
      <c r="L298" s="5" t="n">
        <f aca="false">IF(H298=0,0,I298/H298)</f>
        <v>0.222222222222222</v>
      </c>
      <c r="M298" s="6" t="n">
        <f aca="false">IF(I298=0,0,J298/I298)</f>
        <v>1235.655</v>
      </c>
    </row>
    <row r="299" customFormat="false" ht="15" hidden="false" customHeight="false" outlineLevel="0" collapsed="false">
      <c r="A299" s="2" t="n">
        <v>298</v>
      </c>
      <c r="B299" s="3" t="s">
        <v>77</v>
      </c>
      <c r="C299" s="3" t="s">
        <v>65</v>
      </c>
      <c r="D299" s="3" t="s">
        <v>22</v>
      </c>
      <c r="E299" s="3" t="s">
        <v>25</v>
      </c>
      <c r="F299" s="3" t="s">
        <v>23</v>
      </c>
      <c r="G299" s="3" t="s">
        <v>31</v>
      </c>
      <c r="H299" s="2" t="n">
        <v>5</v>
      </c>
      <c r="I299" s="2" t="n">
        <v>3</v>
      </c>
      <c r="J299" s="4" t="n">
        <v>440.77</v>
      </c>
      <c r="K299" s="4" t="n">
        <v>179.67</v>
      </c>
      <c r="L299" s="5" t="n">
        <f aca="false">IF(H299=0,0,I299/H299)</f>
        <v>0.6</v>
      </c>
      <c r="M299" s="6" t="n">
        <f aca="false">IF(I299=0,0,J299/I299)</f>
        <v>146.923333333333</v>
      </c>
    </row>
    <row r="300" customFormat="false" ht="15" hidden="false" customHeight="false" outlineLevel="0" collapsed="false">
      <c r="A300" s="2" t="n">
        <v>299</v>
      </c>
      <c r="B300" s="3" t="s">
        <v>77</v>
      </c>
      <c r="C300" s="3" t="s">
        <v>65</v>
      </c>
      <c r="D300" s="3" t="s">
        <v>15</v>
      </c>
      <c r="E300" s="3" t="s">
        <v>16</v>
      </c>
      <c r="F300" s="3" t="s">
        <v>23</v>
      </c>
      <c r="G300" s="3" t="s">
        <v>26</v>
      </c>
      <c r="H300" s="2" t="n">
        <v>7</v>
      </c>
      <c r="I300" s="2" t="n">
        <v>0</v>
      </c>
      <c r="J300" s="4" t="n">
        <v>0</v>
      </c>
      <c r="K300" s="4" t="n">
        <v>0</v>
      </c>
      <c r="L300" s="5" t="n">
        <f aca="false">IF(H300=0,0,I300/H300)</f>
        <v>0</v>
      </c>
      <c r="M300" s="6" t="n">
        <f aca="false">IF(I300=0,0,J300/I300)</f>
        <v>0</v>
      </c>
    </row>
    <row r="301" customFormat="false" ht="15" hidden="false" customHeight="false" outlineLevel="0" collapsed="false">
      <c r="A301" s="2" t="n">
        <v>300</v>
      </c>
      <c r="B301" s="3" t="s">
        <v>77</v>
      </c>
      <c r="C301" s="3" t="s">
        <v>65</v>
      </c>
      <c r="D301" s="3" t="s">
        <v>19</v>
      </c>
      <c r="E301" s="3" t="s">
        <v>16</v>
      </c>
      <c r="F301" s="3" t="s">
        <v>23</v>
      </c>
      <c r="G301" s="3" t="s">
        <v>18</v>
      </c>
      <c r="H301" s="2" t="n">
        <v>10</v>
      </c>
      <c r="I301" s="2" t="n">
        <v>1</v>
      </c>
      <c r="J301" s="4" t="n">
        <v>925.81</v>
      </c>
      <c r="K301" s="4" t="n">
        <v>137.1</v>
      </c>
      <c r="L301" s="5" t="n">
        <f aca="false">IF(H301=0,0,I301/H301)</f>
        <v>0.1</v>
      </c>
      <c r="M301" s="6" t="n">
        <f aca="false">IF(I301=0,0,J301/I301)</f>
        <v>925.81</v>
      </c>
    </row>
    <row r="302" customFormat="false" ht="15" hidden="false" customHeight="false" outlineLevel="0" collapsed="false">
      <c r="A302" s="2" t="n">
        <v>301</v>
      </c>
      <c r="B302" s="3" t="s">
        <v>77</v>
      </c>
      <c r="C302" s="3" t="s">
        <v>65</v>
      </c>
      <c r="D302" s="3" t="s">
        <v>22</v>
      </c>
      <c r="E302" s="3" t="s">
        <v>25</v>
      </c>
      <c r="F302" s="3" t="s">
        <v>23</v>
      </c>
      <c r="G302" s="3" t="s">
        <v>31</v>
      </c>
      <c r="H302" s="2" t="n">
        <v>10</v>
      </c>
      <c r="I302" s="2" t="n">
        <v>2</v>
      </c>
      <c r="J302" s="4" t="n">
        <v>215.01</v>
      </c>
      <c r="K302" s="4" t="n">
        <v>85.53</v>
      </c>
      <c r="L302" s="5" t="n">
        <f aca="false">IF(H302=0,0,I302/H302)</f>
        <v>0.2</v>
      </c>
      <c r="M302" s="6" t="n">
        <f aca="false">IF(I302=0,0,J302/I302)</f>
        <v>107.505</v>
      </c>
    </row>
    <row r="303" customFormat="false" ht="15" hidden="false" customHeight="false" outlineLevel="0" collapsed="false">
      <c r="A303" s="2" t="n">
        <v>302</v>
      </c>
      <c r="B303" s="3" t="s">
        <v>77</v>
      </c>
      <c r="C303" s="3" t="s">
        <v>65</v>
      </c>
      <c r="D303" s="3" t="s">
        <v>19</v>
      </c>
      <c r="E303" s="3" t="s">
        <v>25</v>
      </c>
      <c r="F303" s="3" t="s">
        <v>23</v>
      </c>
      <c r="G303" s="3" t="s">
        <v>21</v>
      </c>
      <c r="H303" s="2" t="n">
        <v>7</v>
      </c>
      <c r="I303" s="2" t="n">
        <v>0</v>
      </c>
      <c r="J303" s="4" t="n">
        <v>0</v>
      </c>
      <c r="K303" s="4" t="n">
        <v>0</v>
      </c>
      <c r="L303" s="5" t="n">
        <f aca="false">IF(H303=0,0,I303/H303)</f>
        <v>0</v>
      </c>
      <c r="M303" s="6" t="n">
        <f aca="false">IF(I303=0,0,J303/I303)</f>
        <v>0</v>
      </c>
    </row>
    <row r="304" customFormat="false" ht="15" hidden="false" customHeight="false" outlineLevel="0" collapsed="false">
      <c r="A304" s="2" t="n">
        <v>303</v>
      </c>
      <c r="B304" s="3" t="s">
        <v>78</v>
      </c>
      <c r="C304" s="3" t="s">
        <v>65</v>
      </c>
      <c r="D304" s="3" t="s">
        <v>19</v>
      </c>
      <c r="E304" s="3" t="s">
        <v>25</v>
      </c>
      <c r="F304" s="3" t="s">
        <v>29</v>
      </c>
      <c r="G304" s="3" t="s">
        <v>31</v>
      </c>
      <c r="H304" s="2" t="n">
        <v>8</v>
      </c>
      <c r="I304" s="2" t="n">
        <v>2</v>
      </c>
      <c r="J304" s="4" t="n">
        <v>1419.79</v>
      </c>
      <c r="K304" s="4" t="n">
        <v>194.73</v>
      </c>
      <c r="L304" s="5" t="n">
        <f aca="false">IF(H304=0,0,I304/H304)</f>
        <v>0.25</v>
      </c>
      <c r="M304" s="6" t="n">
        <f aca="false">IF(I304=0,0,J304/I304)</f>
        <v>709.895</v>
      </c>
    </row>
    <row r="305" customFormat="false" ht="15" hidden="false" customHeight="false" outlineLevel="0" collapsed="false">
      <c r="A305" s="2" t="n">
        <v>304</v>
      </c>
      <c r="B305" s="3" t="s">
        <v>78</v>
      </c>
      <c r="C305" s="3" t="s">
        <v>65</v>
      </c>
      <c r="D305" s="3" t="s">
        <v>19</v>
      </c>
      <c r="E305" s="3" t="s">
        <v>33</v>
      </c>
      <c r="F305" s="3" t="s">
        <v>17</v>
      </c>
      <c r="G305" s="3" t="s">
        <v>31</v>
      </c>
      <c r="H305" s="2" t="n">
        <v>10</v>
      </c>
      <c r="I305" s="2" t="n">
        <v>1</v>
      </c>
      <c r="J305" s="4" t="n">
        <v>778.6</v>
      </c>
      <c r="K305" s="4" t="n">
        <v>100.94</v>
      </c>
      <c r="L305" s="5" t="n">
        <f aca="false">IF(H305=0,0,I305/H305)</f>
        <v>0.1</v>
      </c>
      <c r="M305" s="6" t="n">
        <f aca="false">IF(I305=0,0,J305/I305)</f>
        <v>778.6</v>
      </c>
    </row>
    <row r="306" customFormat="false" ht="15" hidden="false" customHeight="false" outlineLevel="0" collapsed="false">
      <c r="A306" s="2" t="n">
        <v>305</v>
      </c>
      <c r="B306" s="3" t="s">
        <v>78</v>
      </c>
      <c r="C306" s="3" t="s">
        <v>65</v>
      </c>
      <c r="D306" s="3" t="s">
        <v>24</v>
      </c>
      <c r="E306" s="3" t="s">
        <v>25</v>
      </c>
      <c r="F306" s="3" t="s">
        <v>20</v>
      </c>
      <c r="G306" s="3" t="s">
        <v>18</v>
      </c>
      <c r="H306" s="2" t="n">
        <v>12</v>
      </c>
      <c r="I306" s="2" t="n">
        <v>4</v>
      </c>
      <c r="J306" s="4" t="n">
        <v>1294.94</v>
      </c>
      <c r="K306" s="4" t="n">
        <v>301.14</v>
      </c>
      <c r="L306" s="5" t="n">
        <f aca="false">IF(H306=0,0,I306/H306)</f>
        <v>0.333333333333333</v>
      </c>
      <c r="M306" s="6" t="n">
        <f aca="false">IF(I306=0,0,J306/I306)</f>
        <v>323.735</v>
      </c>
    </row>
    <row r="307" customFormat="false" ht="15" hidden="false" customHeight="false" outlineLevel="0" collapsed="false">
      <c r="A307" s="2" t="n">
        <v>306</v>
      </c>
      <c r="B307" s="3" t="s">
        <v>78</v>
      </c>
      <c r="C307" s="3" t="s">
        <v>65</v>
      </c>
      <c r="D307" s="3" t="s">
        <v>22</v>
      </c>
      <c r="E307" s="3" t="s">
        <v>16</v>
      </c>
      <c r="F307" s="3" t="s">
        <v>23</v>
      </c>
      <c r="G307" s="3" t="s">
        <v>18</v>
      </c>
      <c r="H307" s="2" t="n">
        <v>5</v>
      </c>
      <c r="I307" s="2" t="n">
        <v>3</v>
      </c>
      <c r="J307" s="4" t="n">
        <v>416.69</v>
      </c>
      <c r="K307" s="4" t="n">
        <v>176.2</v>
      </c>
      <c r="L307" s="5" t="n">
        <f aca="false">IF(H307=0,0,I307/H307)</f>
        <v>0.6</v>
      </c>
      <c r="M307" s="6" t="n">
        <f aca="false">IF(I307=0,0,J307/I307)</f>
        <v>138.896666666667</v>
      </c>
    </row>
    <row r="308" customFormat="false" ht="15" hidden="false" customHeight="false" outlineLevel="0" collapsed="false">
      <c r="A308" s="2" t="n">
        <v>307</v>
      </c>
      <c r="B308" s="3" t="s">
        <v>79</v>
      </c>
      <c r="C308" s="3" t="s">
        <v>65</v>
      </c>
      <c r="D308" s="3" t="s">
        <v>19</v>
      </c>
      <c r="E308" s="3" t="s">
        <v>16</v>
      </c>
      <c r="F308" s="3" t="s">
        <v>17</v>
      </c>
      <c r="G308" s="3" t="s">
        <v>18</v>
      </c>
      <c r="H308" s="2" t="n">
        <v>4</v>
      </c>
      <c r="I308" s="2" t="n">
        <v>1</v>
      </c>
      <c r="J308" s="4" t="n">
        <v>1050.93</v>
      </c>
      <c r="K308" s="4" t="n">
        <v>138.93</v>
      </c>
      <c r="L308" s="5" t="n">
        <f aca="false">IF(H308=0,0,I308/H308)</f>
        <v>0.25</v>
      </c>
      <c r="M308" s="6" t="n">
        <f aca="false">IF(I308=0,0,J308/I308)</f>
        <v>1050.93</v>
      </c>
    </row>
    <row r="309" customFormat="false" ht="15" hidden="false" customHeight="false" outlineLevel="0" collapsed="false">
      <c r="A309" s="2" t="n">
        <v>308</v>
      </c>
      <c r="B309" s="3" t="s">
        <v>79</v>
      </c>
      <c r="C309" s="3" t="s">
        <v>65</v>
      </c>
      <c r="D309" s="3" t="s">
        <v>24</v>
      </c>
      <c r="E309" s="3" t="s">
        <v>33</v>
      </c>
      <c r="F309" s="3" t="s">
        <v>23</v>
      </c>
      <c r="G309" s="3" t="s">
        <v>34</v>
      </c>
      <c r="H309" s="2" t="n">
        <v>8</v>
      </c>
      <c r="I309" s="2" t="n">
        <v>3</v>
      </c>
      <c r="J309" s="4" t="n">
        <v>845.7</v>
      </c>
      <c r="K309" s="4" t="n">
        <v>206.68</v>
      </c>
      <c r="L309" s="5" t="n">
        <f aca="false">IF(H309=0,0,I309/H309)</f>
        <v>0.375</v>
      </c>
      <c r="M309" s="6" t="n">
        <f aca="false">IF(I309=0,0,J309/I309)</f>
        <v>281.9</v>
      </c>
    </row>
    <row r="310" customFormat="false" ht="15" hidden="false" customHeight="false" outlineLevel="0" collapsed="false">
      <c r="A310" s="2" t="n">
        <v>309</v>
      </c>
      <c r="B310" s="3" t="s">
        <v>79</v>
      </c>
      <c r="C310" s="3" t="s">
        <v>65</v>
      </c>
      <c r="D310" s="3" t="s">
        <v>24</v>
      </c>
      <c r="E310" s="3" t="s">
        <v>33</v>
      </c>
      <c r="F310" s="3" t="s">
        <v>23</v>
      </c>
      <c r="G310" s="3" t="s">
        <v>30</v>
      </c>
      <c r="H310" s="2" t="n">
        <v>6</v>
      </c>
      <c r="I310" s="2" t="n">
        <v>1</v>
      </c>
      <c r="J310" s="4" t="n">
        <v>345.17</v>
      </c>
      <c r="K310" s="4" t="n">
        <v>82.21</v>
      </c>
      <c r="L310" s="5" t="n">
        <f aca="false">IF(H310=0,0,I310/H310)</f>
        <v>0.166666666666667</v>
      </c>
      <c r="M310" s="6" t="n">
        <f aca="false">IF(I310=0,0,J310/I310)</f>
        <v>345.17</v>
      </c>
    </row>
    <row r="311" customFormat="false" ht="15" hidden="false" customHeight="false" outlineLevel="0" collapsed="false">
      <c r="A311" s="2" t="n">
        <v>310</v>
      </c>
      <c r="B311" s="3" t="s">
        <v>79</v>
      </c>
      <c r="C311" s="3" t="s">
        <v>65</v>
      </c>
      <c r="D311" s="3" t="s">
        <v>15</v>
      </c>
      <c r="E311" s="3" t="s">
        <v>25</v>
      </c>
      <c r="F311" s="3" t="s">
        <v>23</v>
      </c>
      <c r="G311" s="3" t="s">
        <v>18</v>
      </c>
      <c r="H311" s="2" t="n">
        <v>9</v>
      </c>
      <c r="I311" s="2" t="n">
        <v>0</v>
      </c>
      <c r="J311" s="4" t="n">
        <v>0</v>
      </c>
      <c r="K311" s="4" t="n">
        <v>0</v>
      </c>
      <c r="L311" s="5" t="n">
        <f aca="false">IF(H311=0,0,I311/H311)</f>
        <v>0</v>
      </c>
      <c r="M311" s="6" t="n">
        <f aca="false">IF(I311=0,0,J311/I311)</f>
        <v>0</v>
      </c>
    </row>
    <row r="312" customFormat="false" ht="15" hidden="false" customHeight="false" outlineLevel="0" collapsed="false">
      <c r="A312" s="2" t="n">
        <v>311</v>
      </c>
      <c r="B312" s="3" t="s">
        <v>80</v>
      </c>
      <c r="C312" s="3" t="s">
        <v>65</v>
      </c>
      <c r="D312" s="3" t="s">
        <v>22</v>
      </c>
      <c r="E312" s="3" t="s">
        <v>16</v>
      </c>
      <c r="F312" s="3" t="s">
        <v>23</v>
      </c>
      <c r="G312" s="3" t="s">
        <v>26</v>
      </c>
      <c r="H312" s="2" t="n">
        <v>5</v>
      </c>
      <c r="I312" s="2" t="n">
        <v>0</v>
      </c>
      <c r="J312" s="4" t="n">
        <v>0</v>
      </c>
      <c r="K312" s="4" t="n">
        <v>0</v>
      </c>
      <c r="L312" s="5" t="n">
        <f aca="false">IF(H312=0,0,I312/H312)</f>
        <v>0</v>
      </c>
      <c r="M312" s="6" t="n">
        <f aca="false">IF(I312=0,0,J312/I312)</f>
        <v>0</v>
      </c>
    </row>
    <row r="313" customFormat="false" ht="15" hidden="false" customHeight="false" outlineLevel="0" collapsed="false">
      <c r="A313" s="2" t="n">
        <v>312</v>
      </c>
      <c r="B313" s="3" t="s">
        <v>80</v>
      </c>
      <c r="C313" s="3" t="s">
        <v>65</v>
      </c>
      <c r="D313" s="3" t="s">
        <v>27</v>
      </c>
      <c r="E313" s="3" t="s">
        <v>25</v>
      </c>
      <c r="F313" s="3" t="s">
        <v>23</v>
      </c>
      <c r="G313" s="3" t="s">
        <v>21</v>
      </c>
      <c r="H313" s="2" t="n">
        <v>14</v>
      </c>
      <c r="I313" s="2" t="n">
        <v>4</v>
      </c>
      <c r="J313" s="4" t="n">
        <v>4805.58</v>
      </c>
      <c r="K313" s="4" t="n">
        <v>876.05</v>
      </c>
      <c r="L313" s="5" t="n">
        <f aca="false">IF(H313=0,0,I313/H313)</f>
        <v>0.285714285714286</v>
      </c>
      <c r="M313" s="6" t="n">
        <f aca="false">IF(I313=0,0,J313/I313)</f>
        <v>1201.395</v>
      </c>
    </row>
    <row r="314" customFormat="false" ht="15" hidden="false" customHeight="false" outlineLevel="0" collapsed="false">
      <c r="A314" s="2" t="n">
        <v>313</v>
      </c>
      <c r="B314" s="3" t="s">
        <v>80</v>
      </c>
      <c r="C314" s="3" t="s">
        <v>65</v>
      </c>
      <c r="D314" s="3" t="s">
        <v>22</v>
      </c>
      <c r="E314" s="3" t="s">
        <v>16</v>
      </c>
      <c r="F314" s="3" t="s">
        <v>23</v>
      </c>
      <c r="G314" s="3" t="s">
        <v>34</v>
      </c>
      <c r="H314" s="2" t="n">
        <v>6</v>
      </c>
      <c r="I314" s="2" t="n">
        <v>0</v>
      </c>
      <c r="J314" s="4" t="n">
        <v>0</v>
      </c>
      <c r="K314" s="4" t="n">
        <v>0</v>
      </c>
      <c r="L314" s="5" t="n">
        <f aca="false">IF(H314=0,0,I314/H314)</f>
        <v>0</v>
      </c>
      <c r="M314" s="6" t="n">
        <f aca="false">IF(I314=0,0,J314/I314)</f>
        <v>0</v>
      </c>
    </row>
    <row r="315" customFormat="false" ht="15" hidden="false" customHeight="false" outlineLevel="0" collapsed="false">
      <c r="A315" s="2" t="n">
        <v>314</v>
      </c>
      <c r="B315" s="3" t="s">
        <v>80</v>
      </c>
      <c r="C315" s="3" t="s">
        <v>65</v>
      </c>
      <c r="D315" s="3" t="s">
        <v>15</v>
      </c>
      <c r="E315" s="3" t="s">
        <v>25</v>
      </c>
      <c r="F315" s="3" t="s">
        <v>23</v>
      </c>
      <c r="G315" s="3" t="s">
        <v>34</v>
      </c>
      <c r="H315" s="2" t="n">
        <v>3</v>
      </c>
      <c r="I315" s="2" t="n">
        <v>0</v>
      </c>
      <c r="J315" s="4" t="n">
        <v>0</v>
      </c>
      <c r="K315" s="4" t="n">
        <v>0</v>
      </c>
      <c r="L315" s="5" t="n">
        <f aca="false">IF(H315=0,0,I315/H315)</f>
        <v>0</v>
      </c>
      <c r="M315" s="6" t="n">
        <f aca="false">IF(I315=0,0,J315/I315)</f>
        <v>0</v>
      </c>
    </row>
    <row r="316" customFormat="false" ht="15" hidden="false" customHeight="false" outlineLevel="0" collapsed="false">
      <c r="A316" s="2" t="n">
        <v>315</v>
      </c>
      <c r="B316" s="3" t="s">
        <v>81</v>
      </c>
      <c r="C316" s="3" t="s">
        <v>65</v>
      </c>
      <c r="D316" s="3" t="s">
        <v>24</v>
      </c>
      <c r="E316" s="3" t="s">
        <v>25</v>
      </c>
      <c r="F316" s="3" t="s">
        <v>23</v>
      </c>
      <c r="G316" s="3" t="s">
        <v>30</v>
      </c>
      <c r="H316" s="2" t="n">
        <v>3</v>
      </c>
      <c r="I316" s="2" t="n">
        <v>0</v>
      </c>
      <c r="J316" s="4" t="n">
        <v>0</v>
      </c>
      <c r="K316" s="4" t="n">
        <v>0</v>
      </c>
      <c r="L316" s="5" t="n">
        <f aca="false">IF(H316=0,0,I316/H316)</f>
        <v>0</v>
      </c>
      <c r="M316" s="6" t="n">
        <f aca="false">IF(I316=0,0,J316/I316)</f>
        <v>0</v>
      </c>
    </row>
    <row r="317" customFormat="false" ht="15" hidden="false" customHeight="false" outlineLevel="0" collapsed="false">
      <c r="A317" s="2" t="n">
        <v>316</v>
      </c>
      <c r="B317" s="3" t="s">
        <v>81</v>
      </c>
      <c r="C317" s="3" t="s">
        <v>65</v>
      </c>
      <c r="D317" s="3" t="s">
        <v>24</v>
      </c>
      <c r="E317" s="3" t="s">
        <v>16</v>
      </c>
      <c r="F317" s="3" t="s">
        <v>17</v>
      </c>
      <c r="G317" s="3" t="s">
        <v>26</v>
      </c>
      <c r="H317" s="2" t="n">
        <v>9</v>
      </c>
      <c r="I317" s="2" t="n">
        <v>1</v>
      </c>
      <c r="J317" s="4" t="n">
        <v>287.69</v>
      </c>
      <c r="K317" s="4" t="n">
        <v>69.17</v>
      </c>
      <c r="L317" s="5" t="n">
        <f aca="false">IF(H317=0,0,I317/H317)</f>
        <v>0.111111111111111</v>
      </c>
      <c r="M317" s="6" t="n">
        <f aca="false">IF(I317=0,0,J317/I317)</f>
        <v>287.69</v>
      </c>
    </row>
    <row r="318" customFormat="false" ht="15" hidden="false" customHeight="false" outlineLevel="0" collapsed="false">
      <c r="A318" s="2" t="n">
        <v>317</v>
      </c>
      <c r="B318" s="3" t="s">
        <v>81</v>
      </c>
      <c r="C318" s="3" t="s">
        <v>65</v>
      </c>
      <c r="D318" s="3" t="s">
        <v>19</v>
      </c>
      <c r="E318" s="3" t="s">
        <v>25</v>
      </c>
      <c r="F318" s="3" t="s">
        <v>23</v>
      </c>
      <c r="G318" s="3" t="s">
        <v>21</v>
      </c>
      <c r="H318" s="2" t="n">
        <v>8</v>
      </c>
      <c r="I318" s="2" t="n">
        <v>0</v>
      </c>
      <c r="J318" s="4" t="n">
        <v>0</v>
      </c>
      <c r="K318" s="4" t="n">
        <v>0</v>
      </c>
      <c r="L318" s="5" t="n">
        <f aca="false">IF(H318=0,0,I318/H318)</f>
        <v>0</v>
      </c>
      <c r="M318" s="6" t="n">
        <f aca="false">IF(I318=0,0,J318/I318)</f>
        <v>0</v>
      </c>
    </row>
    <row r="319" customFormat="false" ht="15" hidden="false" customHeight="false" outlineLevel="0" collapsed="false">
      <c r="A319" s="2" t="n">
        <v>318</v>
      </c>
      <c r="B319" s="3" t="s">
        <v>81</v>
      </c>
      <c r="C319" s="3" t="s">
        <v>65</v>
      </c>
      <c r="D319" s="3" t="s">
        <v>15</v>
      </c>
      <c r="E319" s="3" t="s">
        <v>16</v>
      </c>
      <c r="F319" s="3" t="s">
        <v>20</v>
      </c>
      <c r="G319" s="3" t="s">
        <v>21</v>
      </c>
      <c r="H319" s="2" t="n">
        <v>9</v>
      </c>
      <c r="I319" s="2" t="n">
        <v>0</v>
      </c>
      <c r="J319" s="4" t="n">
        <v>0</v>
      </c>
      <c r="K319" s="4" t="n">
        <v>0</v>
      </c>
      <c r="L319" s="5" t="n">
        <f aca="false">IF(H319=0,0,I319/H319)</f>
        <v>0</v>
      </c>
      <c r="M319" s="6" t="n">
        <f aca="false">IF(I319=0,0,J319/I319)</f>
        <v>0</v>
      </c>
    </row>
    <row r="320" customFormat="false" ht="15" hidden="false" customHeight="false" outlineLevel="0" collapsed="false">
      <c r="A320" s="2" t="n">
        <v>319</v>
      </c>
      <c r="B320" s="3" t="s">
        <v>81</v>
      </c>
      <c r="C320" s="3" t="s">
        <v>65</v>
      </c>
      <c r="D320" s="3" t="s">
        <v>22</v>
      </c>
      <c r="E320" s="3" t="s">
        <v>25</v>
      </c>
      <c r="F320" s="3" t="s">
        <v>23</v>
      </c>
      <c r="G320" s="3" t="s">
        <v>21</v>
      </c>
      <c r="H320" s="2" t="n">
        <v>7</v>
      </c>
      <c r="I320" s="2" t="n">
        <v>3</v>
      </c>
      <c r="J320" s="4" t="n">
        <v>345.42</v>
      </c>
      <c r="K320" s="4" t="n">
        <v>144.98</v>
      </c>
      <c r="L320" s="5" t="n">
        <f aca="false">IF(H320=0,0,I320/H320)</f>
        <v>0.428571428571429</v>
      </c>
      <c r="M320" s="6" t="n">
        <f aca="false">IF(I320=0,0,J320/I320)</f>
        <v>115.14</v>
      </c>
    </row>
    <row r="321" customFormat="false" ht="15" hidden="false" customHeight="false" outlineLevel="0" collapsed="false">
      <c r="A321" s="2" t="n">
        <v>320</v>
      </c>
      <c r="B321" s="3" t="s">
        <v>81</v>
      </c>
      <c r="C321" s="3" t="s">
        <v>65</v>
      </c>
      <c r="D321" s="3" t="s">
        <v>19</v>
      </c>
      <c r="E321" s="3" t="s">
        <v>25</v>
      </c>
      <c r="F321" s="3" t="s">
        <v>17</v>
      </c>
      <c r="G321" s="3" t="s">
        <v>26</v>
      </c>
      <c r="H321" s="2" t="n">
        <v>5</v>
      </c>
      <c r="I321" s="2" t="n">
        <v>2</v>
      </c>
      <c r="J321" s="4" t="n">
        <v>1342.94</v>
      </c>
      <c r="K321" s="4" t="n">
        <v>178.96</v>
      </c>
      <c r="L321" s="5" t="n">
        <f aca="false">IF(H321=0,0,I321/H321)</f>
        <v>0.4</v>
      </c>
      <c r="M321" s="6" t="n">
        <f aca="false">IF(I321=0,0,J321/I321)</f>
        <v>671.47</v>
      </c>
    </row>
    <row r="322" customFormat="false" ht="15" hidden="false" customHeight="false" outlineLevel="0" collapsed="false">
      <c r="A322" s="2" t="n">
        <v>321</v>
      </c>
      <c r="B322" s="3" t="s">
        <v>81</v>
      </c>
      <c r="C322" s="3" t="s">
        <v>65</v>
      </c>
      <c r="D322" s="3" t="s">
        <v>22</v>
      </c>
      <c r="E322" s="3" t="s">
        <v>25</v>
      </c>
      <c r="F322" s="3" t="s">
        <v>20</v>
      </c>
      <c r="G322" s="3" t="s">
        <v>18</v>
      </c>
      <c r="H322" s="2" t="n">
        <v>4</v>
      </c>
      <c r="I322" s="2" t="n">
        <v>1</v>
      </c>
      <c r="J322" s="4" t="n">
        <v>99.2</v>
      </c>
      <c r="K322" s="4" t="n">
        <v>44.11</v>
      </c>
      <c r="L322" s="5" t="n">
        <f aca="false">IF(H322=0,0,I322/H322)</f>
        <v>0.25</v>
      </c>
      <c r="M322" s="6" t="n">
        <f aca="false">IF(I322=0,0,J322/I322)</f>
        <v>99.2</v>
      </c>
    </row>
    <row r="323" customFormat="false" ht="15" hidden="false" customHeight="false" outlineLevel="0" collapsed="false">
      <c r="A323" s="2" t="n">
        <v>322</v>
      </c>
      <c r="B323" s="3" t="s">
        <v>82</v>
      </c>
      <c r="C323" s="3" t="s">
        <v>65</v>
      </c>
      <c r="D323" s="3" t="s">
        <v>15</v>
      </c>
      <c r="E323" s="3" t="s">
        <v>16</v>
      </c>
      <c r="F323" s="3" t="s">
        <v>20</v>
      </c>
      <c r="G323" s="3" t="s">
        <v>18</v>
      </c>
      <c r="H323" s="2" t="n">
        <v>2</v>
      </c>
      <c r="I323" s="2" t="n">
        <v>0</v>
      </c>
      <c r="J323" s="4" t="n">
        <v>0</v>
      </c>
      <c r="K323" s="4" t="n">
        <v>0</v>
      </c>
      <c r="L323" s="5" t="n">
        <f aca="false">IF(H323=0,0,I323/H323)</f>
        <v>0</v>
      </c>
      <c r="M323" s="6" t="n">
        <f aca="false">IF(I323=0,0,J323/I323)</f>
        <v>0</v>
      </c>
    </row>
    <row r="324" customFormat="false" ht="15" hidden="false" customHeight="false" outlineLevel="0" collapsed="false">
      <c r="A324" s="2" t="n">
        <v>323</v>
      </c>
      <c r="B324" s="3" t="s">
        <v>82</v>
      </c>
      <c r="C324" s="3" t="s">
        <v>65</v>
      </c>
      <c r="D324" s="3" t="s">
        <v>15</v>
      </c>
      <c r="E324" s="3" t="s">
        <v>16</v>
      </c>
      <c r="F324" s="3" t="s">
        <v>29</v>
      </c>
      <c r="G324" s="3" t="s">
        <v>26</v>
      </c>
      <c r="H324" s="2" t="n">
        <v>7</v>
      </c>
      <c r="I324" s="2" t="n">
        <v>1</v>
      </c>
      <c r="J324" s="4" t="n">
        <v>187.56</v>
      </c>
      <c r="K324" s="4" t="n">
        <v>56.89</v>
      </c>
      <c r="L324" s="5" t="n">
        <f aca="false">IF(H324=0,0,I324/H324)</f>
        <v>0.142857142857143</v>
      </c>
      <c r="M324" s="6" t="n">
        <f aca="false">IF(I324=0,0,J324/I324)</f>
        <v>187.56</v>
      </c>
    </row>
    <row r="325" customFormat="false" ht="15" hidden="false" customHeight="false" outlineLevel="0" collapsed="false">
      <c r="A325" s="2" t="n">
        <v>324</v>
      </c>
      <c r="B325" s="3" t="s">
        <v>82</v>
      </c>
      <c r="C325" s="3" t="s">
        <v>65</v>
      </c>
      <c r="D325" s="3" t="s">
        <v>19</v>
      </c>
      <c r="E325" s="3" t="s">
        <v>16</v>
      </c>
      <c r="F325" s="3" t="s">
        <v>23</v>
      </c>
      <c r="G325" s="3" t="s">
        <v>30</v>
      </c>
      <c r="H325" s="2" t="n">
        <v>6</v>
      </c>
      <c r="I325" s="2" t="n">
        <v>0</v>
      </c>
      <c r="J325" s="4" t="n">
        <v>0</v>
      </c>
      <c r="K325" s="4" t="n">
        <v>0</v>
      </c>
      <c r="L325" s="5" t="n">
        <f aca="false">IF(H325=0,0,I325/H325)</f>
        <v>0</v>
      </c>
      <c r="M325" s="6" t="n">
        <f aca="false">IF(I325=0,0,J325/I325)</f>
        <v>0</v>
      </c>
    </row>
    <row r="326" customFormat="false" ht="15" hidden="false" customHeight="false" outlineLevel="0" collapsed="false">
      <c r="A326" s="2" t="n">
        <v>325</v>
      </c>
      <c r="B326" s="3" t="s">
        <v>82</v>
      </c>
      <c r="C326" s="3" t="s">
        <v>65</v>
      </c>
      <c r="D326" s="3" t="s">
        <v>19</v>
      </c>
      <c r="E326" s="3" t="s">
        <v>25</v>
      </c>
      <c r="F326" s="3" t="s">
        <v>23</v>
      </c>
      <c r="G326" s="3" t="s">
        <v>34</v>
      </c>
      <c r="H326" s="2" t="n">
        <v>7</v>
      </c>
      <c r="I326" s="2" t="n">
        <v>1</v>
      </c>
      <c r="J326" s="4" t="n">
        <v>995.03</v>
      </c>
      <c r="K326" s="4" t="n">
        <v>134.08</v>
      </c>
      <c r="L326" s="5" t="n">
        <f aca="false">IF(H326=0,0,I326/H326)</f>
        <v>0.142857142857143</v>
      </c>
      <c r="M326" s="6" t="n">
        <f aca="false">IF(I326=0,0,J326/I326)</f>
        <v>995.03</v>
      </c>
    </row>
    <row r="327" customFormat="false" ht="15" hidden="false" customHeight="false" outlineLevel="0" collapsed="false">
      <c r="A327" s="2" t="n">
        <v>326</v>
      </c>
      <c r="B327" s="3" t="s">
        <v>82</v>
      </c>
      <c r="C327" s="3" t="s">
        <v>65</v>
      </c>
      <c r="D327" s="3" t="s">
        <v>15</v>
      </c>
      <c r="E327" s="3" t="s">
        <v>16</v>
      </c>
      <c r="F327" s="3" t="s">
        <v>29</v>
      </c>
      <c r="G327" s="3" t="s">
        <v>30</v>
      </c>
      <c r="H327" s="2" t="n">
        <v>6</v>
      </c>
      <c r="I327" s="2" t="n">
        <v>0</v>
      </c>
      <c r="J327" s="4" t="n">
        <v>0</v>
      </c>
      <c r="K327" s="4" t="n">
        <v>0</v>
      </c>
      <c r="L327" s="5" t="n">
        <f aca="false">IF(H327=0,0,I327/H327)</f>
        <v>0</v>
      </c>
      <c r="M327" s="6" t="n">
        <f aca="false">IF(I327=0,0,J327/I327)</f>
        <v>0</v>
      </c>
    </row>
    <row r="328" customFormat="false" ht="15" hidden="false" customHeight="false" outlineLevel="0" collapsed="false">
      <c r="A328" s="2" t="n">
        <v>327</v>
      </c>
      <c r="B328" s="3" t="s">
        <v>82</v>
      </c>
      <c r="C328" s="3" t="s">
        <v>65</v>
      </c>
      <c r="D328" s="3" t="s">
        <v>24</v>
      </c>
      <c r="E328" s="3" t="s">
        <v>25</v>
      </c>
      <c r="F328" s="3" t="s">
        <v>23</v>
      </c>
      <c r="G328" s="3" t="s">
        <v>18</v>
      </c>
      <c r="H328" s="2" t="n">
        <v>4</v>
      </c>
      <c r="I328" s="2" t="n">
        <v>0</v>
      </c>
      <c r="J328" s="4" t="n">
        <v>0</v>
      </c>
      <c r="K328" s="4" t="n">
        <v>0</v>
      </c>
      <c r="L328" s="5" t="n">
        <f aca="false">IF(H328=0,0,I328/H328)</f>
        <v>0</v>
      </c>
      <c r="M328" s="6" t="n">
        <f aca="false">IF(I328=0,0,J328/I328)</f>
        <v>0</v>
      </c>
    </row>
    <row r="329" customFormat="false" ht="15" hidden="false" customHeight="false" outlineLevel="0" collapsed="false">
      <c r="A329" s="2" t="n">
        <v>328</v>
      </c>
      <c r="B329" s="3" t="s">
        <v>82</v>
      </c>
      <c r="C329" s="3" t="s">
        <v>65</v>
      </c>
      <c r="D329" s="3" t="s">
        <v>22</v>
      </c>
      <c r="E329" s="3" t="s">
        <v>28</v>
      </c>
      <c r="F329" s="3" t="s">
        <v>20</v>
      </c>
      <c r="G329" s="3" t="s">
        <v>21</v>
      </c>
      <c r="H329" s="2" t="n">
        <v>10</v>
      </c>
      <c r="I329" s="2" t="n">
        <v>2</v>
      </c>
      <c r="J329" s="4" t="n">
        <v>233.84</v>
      </c>
      <c r="K329" s="4" t="n">
        <v>95.82</v>
      </c>
      <c r="L329" s="5" t="n">
        <f aca="false">IF(H329=0,0,I329/H329)</f>
        <v>0.2</v>
      </c>
      <c r="M329" s="6" t="n">
        <f aca="false">IF(I329=0,0,J329/I329)</f>
        <v>116.92</v>
      </c>
    </row>
    <row r="330" customFormat="false" ht="15" hidden="false" customHeight="false" outlineLevel="0" collapsed="false">
      <c r="A330" s="2" t="n">
        <v>329</v>
      </c>
      <c r="B330" s="3" t="s">
        <v>82</v>
      </c>
      <c r="C330" s="3" t="s">
        <v>65</v>
      </c>
      <c r="D330" s="3" t="s">
        <v>19</v>
      </c>
      <c r="E330" s="3" t="s">
        <v>16</v>
      </c>
      <c r="F330" s="3" t="s">
        <v>20</v>
      </c>
      <c r="G330" s="3" t="s">
        <v>26</v>
      </c>
      <c r="H330" s="2" t="n">
        <v>6</v>
      </c>
      <c r="I330" s="2" t="n">
        <v>2</v>
      </c>
      <c r="J330" s="4" t="n">
        <v>1930.9</v>
      </c>
      <c r="K330" s="4" t="n">
        <v>268.57</v>
      </c>
      <c r="L330" s="5" t="n">
        <f aca="false">IF(H330=0,0,I330/H330)</f>
        <v>0.333333333333333</v>
      </c>
      <c r="M330" s="6" t="n">
        <f aca="false">IF(I330=0,0,J330/I330)</f>
        <v>965.45</v>
      </c>
    </row>
    <row r="331" customFormat="false" ht="15" hidden="false" customHeight="false" outlineLevel="0" collapsed="false">
      <c r="A331" s="2" t="n">
        <v>330</v>
      </c>
      <c r="B331" s="3" t="s">
        <v>83</v>
      </c>
      <c r="C331" s="3" t="s">
        <v>65</v>
      </c>
      <c r="D331" s="3" t="s">
        <v>27</v>
      </c>
      <c r="E331" s="3" t="s">
        <v>16</v>
      </c>
      <c r="F331" s="3" t="s">
        <v>23</v>
      </c>
      <c r="G331" s="3" t="s">
        <v>30</v>
      </c>
      <c r="H331" s="2" t="n">
        <v>6</v>
      </c>
      <c r="I331" s="2" t="n">
        <v>0</v>
      </c>
      <c r="J331" s="4" t="n">
        <v>0</v>
      </c>
      <c r="K331" s="4" t="n">
        <v>0</v>
      </c>
      <c r="L331" s="5" t="n">
        <f aca="false">IF(H331=0,0,I331/H331)</f>
        <v>0</v>
      </c>
      <c r="M331" s="6" t="n">
        <f aca="false">IF(I331=0,0,J331/I331)</f>
        <v>0</v>
      </c>
    </row>
    <row r="332" customFormat="false" ht="15" hidden="false" customHeight="false" outlineLevel="0" collapsed="false">
      <c r="A332" s="2" t="n">
        <v>331</v>
      </c>
      <c r="B332" s="3" t="s">
        <v>83</v>
      </c>
      <c r="C332" s="3" t="s">
        <v>65</v>
      </c>
      <c r="D332" s="3" t="s">
        <v>27</v>
      </c>
      <c r="E332" s="3" t="s">
        <v>28</v>
      </c>
      <c r="F332" s="3" t="s">
        <v>23</v>
      </c>
      <c r="G332" s="3" t="s">
        <v>21</v>
      </c>
      <c r="H332" s="2" t="n">
        <v>8</v>
      </c>
      <c r="I332" s="2" t="n">
        <v>2</v>
      </c>
      <c r="J332" s="4" t="n">
        <v>3483.71</v>
      </c>
      <c r="K332" s="4" t="n">
        <v>653.16</v>
      </c>
      <c r="L332" s="5" t="n">
        <f aca="false">IF(H332=0,0,I332/H332)</f>
        <v>0.25</v>
      </c>
      <c r="M332" s="6" t="n">
        <f aca="false">IF(I332=0,0,J332/I332)</f>
        <v>1741.855</v>
      </c>
    </row>
    <row r="333" customFormat="false" ht="15" hidden="false" customHeight="false" outlineLevel="0" collapsed="false">
      <c r="A333" s="2" t="n">
        <v>332</v>
      </c>
      <c r="B333" s="3" t="s">
        <v>83</v>
      </c>
      <c r="C333" s="3" t="s">
        <v>65</v>
      </c>
      <c r="D333" s="3" t="s">
        <v>19</v>
      </c>
      <c r="E333" s="3" t="s">
        <v>28</v>
      </c>
      <c r="F333" s="3" t="s">
        <v>23</v>
      </c>
      <c r="G333" s="3" t="s">
        <v>34</v>
      </c>
      <c r="H333" s="2" t="n">
        <v>9</v>
      </c>
      <c r="I333" s="2" t="n">
        <v>2</v>
      </c>
      <c r="J333" s="4" t="n">
        <v>1377.37</v>
      </c>
      <c r="K333" s="4" t="n">
        <v>183.66</v>
      </c>
      <c r="L333" s="5" t="n">
        <f aca="false">IF(H333=0,0,I333/H333)</f>
        <v>0.222222222222222</v>
      </c>
      <c r="M333" s="6" t="n">
        <f aca="false">IF(I333=0,0,J333/I333)</f>
        <v>688.685</v>
      </c>
    </row>
    <row r="334" customFormat="false" ht="15" hidden="false" customHeight="false" outlineLevel="0" collapsed="false">
      <c r="A334" s="2" t="n">
        <v>333</v>
      </c>
      <c r="B334" s="3" t="s">
        <v>83</v>
      </c>
      <c r="C334" s="3" t="s">
        <v>65</v>
      </c>
      <c r="D334" s="3" t="s">
        <v>27</v>
      </c>
      <c r="E334" s="3" t="s">
        <v>25</v>
      </c>
      <c r="F334" s="3" t="s">
        <v>23</v>
      </c>
      <c r="G334" s="3" t="s">
        <v>26</v>
      </c>
      <c r="H334" s="2" t="n">
        <v>6</v>
      </c>
      <c r="I334" s="2" t="n">
        <v>0</v>
      </c>
      <c r="J334" s="4" t="n">
        <v>0</v>
      </c>
      <c r="K334" s="4" t="n">
        <v>0</v>
      </c>
      <c r="L334" s="5" t="n">
        <f aca="false">IF(H334=0,0,I334/H334)</f>
        <v>0</v>
      </c>
      <c r="M334" s="6" t="n">
        <f aca="false">IF(I334=0,0,J334/I334)</f>
        <v>0</v>
      </c>
    </row>
    <row r="335" customFormat="false" ht="15" hidden="false" customHeight="false" outlineLevel="0" collapsed="false">
      <c r="A335" s="2" t="n">
        <v>334</v>
      </c>
      <c r="B335" s="3" t="s">
        <v>83</v>
      </c>
      <c r="C335" s="3" t="s">
        <v>65</v>
      </c>
      <c r="D335" s="3" t="s">
        <v>24</v>
      </c>
      <c r="E335" s="3" t="s">
        <v>28</v>
      </c>
      <c r="F335" s="3" t="s">
        <v>17</v>
      </c>
      <c r="G335" s="3" t="s">
        <v>21</v>
      </c>
      <c r="H335" s="2" t="n">
        <v>6</v>
      </c>
      <c r="I335" s="2" t="n">
        <v>2</v>
      </c>
      <c r="J335" s="4" t="n">
        <v>627.23</v>
      </c>
      <c r="K335" s="4" t="n">
        <v>156.74</v>
      </c>
      <c r="L335" s="5" t="n">
        <f aca="false">IF(H335=0,0,I335/H335)</f>
        <v>0.333333333333333</v>
      </c>
      <c r="M335" s="6" t="n">
        <f aca="false">IF(I335=0,0,J335/I335)</f>
        <v>313.615</v>
      </c>
    </row>
    <row r="336" customFormat="false" ht="15" hidden="false" customHeight="false" outlineLevel="0" collapsed="false">
      <c r="A336" s="2" t="n">
        <v>335</v>
      </c>
      <c r="B336" s="3" t="s">
        <v>83</v>
      </c>
      <c r="C336" s="3" t="s">
        <v>65</v>
      </c>
      <c r="D336" s="3" t="s">
        <v>27</v>
      </c>
      <c r="E336" s="3" t="s">
        <v>16</v>
      </c>
      <c r="F336" s="3" t="s">
        <v>23</v>
      </c>
      <c r="G336" s="3" t="s">
        <v>26</v>
      </c>
      <c r="H336" s="2" t="n">
        <v>4</v>
      </c>
      <c r="I336" s="2" t="n">
        <v>0</v>
      </c>
      <c r="J336" s="4" t="n">
        <v>0</v>
      </c>
      <c r="K336" s="4" t="n">
        <v>0</v>
      </c>
      <c r="L336" s="5" t="n">
        <f aca="false">IF(H336=0,0,I336/H336)</f>
        <v>0</v>
      </c>
      <c r="M336" s="6" t="n">
        <f aca="false">IF(I336=0,0,J336/I336)</f>
        <v>0</v>
      </c>
    </row>
    <row r="337" customFormat="false" ht="15" hidden="false" customHeight="false" outlineLevel="0" collapsed="false">
      <c r="A337" s="2" t="n">
        <v>336</v>
      </c>
      <c r="B337" s="3" t="s">
        <v>83</v>
      </c>
      <c r="C337" s="3" t="s">
        <v>65</v>
      </c>
      <c r="D337" s="3" t="s">
        <v>19</v>
      </c>
      <c r="E337" s="3" t="s">
        <v>16</v>
      </c>
      <c r="F337" s="3" t="s">
        <v>29</v>
      </c>
      <c r="G337" s="3" t="s">
        <v>18</v>
      </c>
      <c r="H337" s="2" t="n">
        <v>10</v>
      </c>
      <c r="I337" s="2" t="n">
        <v>0</v>
      </c>
      <c r="J337" s="4" t="n">
        <v>0</v>
      </c>
      <c r="K337" s="4" t="n">
        <v>0</v>
      </c>
      <c r="L337" s="5" t="n">
        <f aca="false">IF(H337=0,0,I337/H337)</f>
        <v>0</v>
      </c>
      <c r="M337" s="6" t="n">
        <f aca="false">IF(I337=0,0,J337/I337)</f>
        <v>0</v>
      </c>
    </row>
    <row r="338" customFormat="false" ht="15" hidden="false" customHeight="false" outlineLevel="0" collapsed="false">
      <c r="A338" s="2" t="n">
        <v>337</v>
      </c>
      <c r="B338" s="3" t="s">
        <v>84</v>
      </c>
      <c r="C338" s="3" t="s">
        <v>65</v>
      </c>
      <c r="D338" s="3" t="s">
        <v>19</v>
      </c>
      <c r="E338" s="3" t="s">
        <v>25</v>
      </c>
      <c r="F338" s="3" t="s">
        <v>20</v>
      </c>
      <c r="G338" s="3" t="s">
        <v>18</v>
      </c>
      <c r="H338" s="2" t="n">
        <v>7</v>
      </c>
      <c r="I338" s="2" t="n">
        <v>1</v>
      </c>
      <c r="J338" s="4" t="n">
        <v>848.98</v>
      </c>
      <c r="K338" s="4" t="n">
        <v>123.3</v>
      </c>
      <c r="L338" s="5" t="n">
        <f aca="false">IF(H338=0,0,I338/H338)</f>
        <v>0.142857142857143</v>
      </c>
      <c r="M338" s="6" t="n">
        <f aca="false">IF(I338=0,0,J338/I338)</f>
        <v>848.98</v>
      </c>
    </row>
    <row r="339" customFormat="false" ht="15" hidden="false" customHeight="false" outlineLevel="0" collapsed="false">
      <c r="A339" s="2" t="n">
        <v>338</v>
      </c>
      <c r="B339" s="3" t="s">
        <v>84</v>
      </c>
      <c r="C339" s="3" t="s">
        <v>65</v>
      </c>
      <c r="D339" s="3" t="s">
        <v>15</v>
      </c>
      <c r="E339" s="3" t="s">
        <v>25</v>
      </c>
      <c r="F339" s="3" t="s">
        <v>23</v>
      </c>
      <c r="G339" s="3" t="s">
        <v>18</v>
      </c>
      <c r="H339" s="2" t="n">
        <v>7</v>
      </c>
      <c r="I339" s="2" t="n">
        <v>1</v>
      </c>
      <c r="J339" s="4" t="n">
        <v>235.61</v>
      </c>
      <c r="K339" s="4" t="n">
        <v>71.47</v>
      </c>
      <c r="L339" s="5" t="n">
        <f aca="false">IF(H339=0,0,I339/H339)</f>
        <v>0.142857142857143</v>
      </c>
      <c r="M339" s="6" t="n">
        <f aca="false">IF(I339=0,0,J339/I339)</f>
        <v>235.61</v>
      </c>
    </row>
    <row r="340" customFormat="false" ht="15" hidden="false" customHeight="false" outlineLevel="0" collapsed="false">
      <c r="A340" s="2" t="n">
        <v>339</v>
      </c>
      <c r="B340" s="3" t="s">
        <v>84</v>
      </c>
      <c r="C340" s="3" t="s">
        <v>65</v>
      </c>
      <c r="D340" s="3" t="s">
        <v>15</v>
      </c>
      <c r="E340" s="3" t="s">
        <v>28</v>
      </c>
      <c r="F340" s="3" t="s">
        <v>23</v>
      </c>
      <c r="G340" s="3" t="s">
        <v>18</v>
      </c>
      <c r="H340" s="2" t="n">
        <v>6</v>
      </c>
      <c r="I340" s="2" t="n">
        <v>2</v>
      </c>
      <c r="J340" s="4" t="n">
        <v>455.78</v>
      </c>
      <c r="K340" s="4" t="n">
        <v>135.6</v>
      </c>
      <c r="L340" s="5" t="n">
        <f aca="false">IF(H340=0,0,I340/H340)</f>
        <v>0.333333333333333</v>
      </c>
      <c r="M340" s="6" t="n">
        <f aca="false">IF(I340=0,0,J340/I340)</f>
        <v>227.89</v>
      </c>
    </row>
    <row r="341" customFormat="false" ht="15" hidden="false" customHeight="false" outlineLevel="0" collapsed="false">
      <c r="A341" s="2" t="n">
        <v>340</v>
      </c>
      <c r="B341" s="3" t="s">
        <v>84</v>
      </c>
      <c r="C341" s="3" t="s">
        <v>65</v>
      </c>
      <c r="D341" s="3" t="s">
        <v>22</v>
      </c>
      <c r="E341" s="3" t="s">
        <v>16</v>
      </c>
      <c r="F341" s="3" t="s">
        <v>23</v>
      </c>
      <c r="G341" s="3" t="s">
        <v>31</v>
      </c>
      <c r="H341" s="2" t="n">
        <v>7</v>
      </c>
      <c r="I341" s="2" t="n">
        <v>4</v>
      </c>
      <c r="J341" s="4" t="n">
        <v>527.16</v>
      </c>
      <c r="K341" s="4" t="n">
        <v>229.24</v>
      </c>
      <c r="L341" s="5" t="n">
        <f aca="false">IF(H341=0,0,I341/H341)</f>
        <v>0.571428571428571</v>
      </c>
      <c r="M341" s="6" t="n">
        <f aca="false">IF(I341=0,0,J341/I341)</f>
        <v>131.79</v>
      </c>
    </row>
    <row r="342" customFormat="false" ht="15" hidden="false" customHeight="false" outlineLevel="0" collapsed="false">
      <c r="A342" s="2" t="n">
        <v>341</v>
      </c>
      <c r="B342" s="3" t="s">
        <v>84</v>
      </c>
      <c r="C342" s="3" t="s">
        <v>65</v>
      </c>
      <c r="D342" s="3" t="s">
        <v>19</v>
      </c>
      <c r="E342" s="3" t="s">
        <v>33</v>
      </c>
      <c r="F342" s="3" t="s">
        <v>23</v>
      </c>
      <c r="G342" s="3" t="s">
        <v>31</v>
      </c>
      <c r="H342" s="2" t="n">
        <v>7</v>
      </c>
      <c r="I342" s="2" t="n">
        <v>1</v>
      </c>
      <c r="J342" s="4" t="n">
        <v>1064.14</v>
      </c>
      <c r="K342" s="4" t="n">
        <v>141.29</v>
      </c>
      <c r="L342" s="5" t="n">
        <f aca="false">IF(H342=0,0,I342/H342)</f>
        <v>0.142857142857143</v>
      </c>
      <c r="M342" s="6" t="n">
        <f aca="false">IF(I342=0,0,J342/I342)</f>
        <v>1064.14</v>
      </c>
    </row>
    <row r="343" customFormat="false" ht="15" hidden="false" customHeight="false" outlineLevel="0" collapsed="false">
      <c r="A343" s="2" t="n">
        <v>342</v>
      </c>
      <c r="B343" s="3" t="s">
        <v>84</v>
      </c>
      <c r="C343" s="3" t="s">
        <v>65</v>
      </c>
      <c r="D343" s="3" t="s">
        <v>19</v>
      </c>
      <c r="E343" s="3" t="s">
        <v>33</v>
      </c>
      <c r="F343" s="3" t="s">
        <v>23</v>
      </c>
      <c r="G343" s="3" t="s">
        <v>30</v>
      </c>
      <c r="H343" s="2" t="n">
        <v>6</v>
      </c>
      <c r="I343" s="2" t="n">
        <v>2</v>
      </c>
      <c r="J343" s="4" t="n">
        <v>1762.82</v>
      </c>
      <c r="K343" s="4" t="n">
        <v>235.47</v>
      </c>
      <c r="L343" s="5" t="n">
        <f aca="false">IF(H343=0,0,I343/H343)</f>
        <v>0.333333333333333</v>
      </c>
      <c r="M343" s="6" t="n">
        <f aca="false">IF(I343=0,0,J343/I343)</f>
        <v>881.41</v>
      </c>
    </row>
    <row r="344" customFormat="false" ht="15" hidden="false" customHeight="false" outlineLevel="0" collapsed="false">
      <c r="A344" s="2" t="n">
        <v>343</v>
      </c>
      <c r="B344" s="3" t="s">
        <v>84</v>
      </c>
      <c r="C344" s="3" t="s">
        <v>65</v>
      </c>
      <c r="D344" s="3" t="s">
        <v>15</v>
      </c>
      <c r="E344" s="3" t="s">
        <v>16</v>
      </c>
      <c r="F344" s="3" t="s">
        <v>23</v>
      </c>
      <c r="G344" s="3" t="s">
        <v>34</v>
      </c>
      <c r="H344" s="2" t="n">
        <v>7</v>
      </c>
      <c r="I344" s="2" t="n">
        <v>0</v>
      </c>
      <c r="J344" s="4" t="n">
        <v>0</v>
      </c>
      <c r="K344" s="4" t="n">
        <v>0</v>
      </c>
      <c r="L344" s="5" t="n">
        <f aca="false">IF(H344=0,0,I344/H344)</f>
        <v>0</v>
      </c>
      <c r="M344" s="6" t="n">
        <f aca="false">IF(I344=0,0,J344/I344)</f>
        <v>0</v>
      </c>
    </row>
    <row r="345" customFormat="false" ht="15" hidden="false" customHeight="false" outlineLevel="0" collapsed="false">
      <c r="A345" s="2" t="n">
        <v>344</v>
      </c>
      <c r="B345" s="3" t="s">
        <v>84</v>
      </c>
      <c r="C345" s="3" t="s">
        <v>65</v>
      </c>
      <c r="D345" s="3" t="s">
        <v>27</v>
      </c>
      <c r="E345" s="3" t="s">
        <v>25</v>
      </c>
      <c r="F345" s="3" t="s">
        <v>17</v>
      </c>
      <c r="G345" s="3" t="s">
        <v>21</v>
      </c>
      <c r="H345" s="2" t="n">
        <v>8</v>
      </c>
      <c r="I345" s="2" t="n">
        <v>1</v>
      </c>
      <c r="J345" s="4" t="n">
        <v>1772.5</v>
      </c>
      <c r="K345" s="4" t="n">
        <v>311.13</v>
      </c>
      <c r="L345" s="5" t="n">
        <f aca="false">IF(H345=0,0,I345/H345)</f>
        <v>0.125</v>
      </c>
      <c r="M345" s="6" t="n">
        <f aca="false">IF(I345=0,0,J345/I345)</f>
        <v>1772.5</v>
      </c>
    </row>
    <row r="346" customFormat="false" ht="15" hidden="false" customHeight="false" outlineLevel="0" collapsed="false">
      <c r="A346" s="2" t="n">
        <v>345</v>
      </c>
      <c r="B346" s="3" t="s">
        <v>85</v>
      </c>
      <c r="C346" s="3" t="s">
        <v>65</v>
      </c>
      <c r="D346" s="3" t="s">
        <v>24</v>
      </c>
      <c r="E346" s="3" t="s">
        <v>16</v>
      </c>
      <c r="F346" s="3" t="s">
        <v>20</v>
      </c>
      <c r="G346" s="3" t="s">
        <v>31</v>
      </c>
      <c r="H346" s="2" t="n">
        <v>9</v>
      </c>
      <c r="I346" s="2" t="n">
        <v>1</v>
      </c>
      <c r="J346" s="4" t="n">
        <v>211.33</v>
      </c>
      <c r="K346" s="4" t="n">
        <v>48.77</v>
      </c>
      <c r="L346" s="5" t="n">
        <f aca="false">IF(H346=0,0,I346/H346)</f>
        <v>0.111111111111111</v>
      </c>
      <c r="M346" s="6" t="n">
        <f aca="false">IF(I346=0,0,J346/I346)</f>
        <v>211.33</v>
      </c>
    </row>
    <row r="347" customFormat="false" ht="15" hidden="false" customHeight="false" outlineLevel="0" collapsed="false">
      <c r="A347" s="2" t="n">
        <v>346</v>
      </c>
      <c r="B347" s="3" t="s">
        <v>85</v>
      </c>
      <c r="C347" s="3" t="s">
        <v>65</v>
      </c>
      <c r="D347" s="3" t="s">
        <v>24</v>
      </c>
      <c r="E347" s="3" t="s">
        <v>25</v>
      </c>
      <c r="F347" s="3" t="s">
        <v>23</v>
      </c>
      <c r="G347" s="3" t="s">
        <v>21</v>
      </c>
      <c r="H347" s="2" t="n">
        <v>7</v>
      </c>
      <c r="I347" s="2" t="n">
        <v>1</v>
      </c>
      <c r="J347" s="4" t="n">
        <v>220.67</v>
      </c>
      <c r="K347" s="4" t="n">
        <v>55.86</v>
      </c>
      <c r="L347" s="5" t="n">
        <f aca="false">IF(H347=0,0,I347/H347)</f>
        <v>0.142857142857143</v>
      </c>
      <c r="M347" s="6" t="n">
        <f aca="false">IF(I347=0,0,J347/I347)</f>
        <v>220.67</v>
      </c>
    </row>
    <row r="348" customFormat="false" ht="15" hidden="false" customHeight="false" outlineLevel="0" collapsed="false">
      <c r="A348" s="2" t="n">
        <v>347</v>
      </c>
      <c r="B348" s="3" t="s">
        <v>85</v>
      </c>
      <c r="C348" s="3" t="s">
        <v>65</v>
      </c>
      <c r="D348" s="3" t="s">
        <v>24</v>
      </c>
      <c r="E348" s="3" t="s">
        <v>33</v>
      </c>
      <c r="F348" s="3" t="s">
        <v>23</v>
      </c>
      <c r="G348" s="3" t="s">
        <v>26</v>
      </c>
      <c r="H348" s="2" t="n">
        <v>11</v>
      </c>
      <c r="I348" s="2" t="n">
        <v>3</v>
      </c>
      <c r="J348" s="4" t="n">
        <v>857.47</v>
      </c>
      <c r="K348" s="4" t="n">
        <v>203.81</v>
      </c>
      <c r="L348" s="5" t="n">
        <f aca="false">IF(H348=0,0,I348/H348)</f>
        <v>0.272727272727273</v>
      </c>
      <c r="M348" s="6" t="n">
        <f aca="false">IF(I348=0,0,J348/I348)</f>
        <v>285.823333333333</v>
      </c>
    </row>
    <row r="349" customFormat="false" ht="15" hidden="false" customHeight="false" outlineLevel="0" collapsed="false">
      <c r="A349" s="2" t="n">
        <v>348</v>
      </c>
      <c r="B349" s="3" t="s">
        <v>85</v>
      </c>
      <c r="C349" s="3" t="s">
        <v>65</v>
      </c>
      <c r="D349" s="3" t="s">
        <v>22</v>
      </c>
      <c r="E349" s="3" t="s">
        <v>16</v>
      </c>
      <c r="F349" s="3" t="s">
        <v>17</v>
      </c>
      <c r="G349" s="3" t="s">
        <v>30</v>
      </c>
      <c r="H349" s="2" t="n">
        <v>9</v>
      </c>
      <c r="I349" s="2" t="n">
        <v>0</v>
      </c>
      <c r="J349" s="4" t="n">
        <v>0</v>
      </c>
      <c r="K349" s="4" t="n">
        <v>0</v>
      </c>
      <c r="L349" s="5" t="n">
        <f aca="false">IF(H349=0,0,I349/H349)</f>
        <v>0</v>
      </c>
      <c r="M349" s="6" t="n">
        <f aca="false">IF(I349=0,0,J349/I349)</f>
        <v>0</v>
      </c>
    </row>
    <row r="350" customFormat="false" ht="15" hidden="false" customHeight="false" outlineLevel="0" collapsed="false">
      <c r="A350" s="2" t="n">
        <v>349</v>
      </c>
      <c r="B350" s="3" t="s">
        <v>85</v>
      </c>
      <c r="C350" s="3" t="s">
        <v>65</v>
      </c>
      <c r="D350" s="3" t="s">
        <v>27</v>
      </c>
      <c r="E350" s="3" t="s">
        <v>28</v>
      </c>
      <c r="F350" s="3" t="s">
        <v>23</v>
      </c>
      <c r="G350" s="3" t="s">
        <v>26</v>
      </c>
      <c r="H350" s="2" t="n">
        <v>8</v>
      </c>
      <c r="I350" s="2" t="n">
        <v>1</v>
      </c>
      <c r="J350" s="4" t="n">
        <v>1707.02</v>
      </c>
      <c r="K350" s="4" t="n">
        <v>315.79</v>
      </c>
      <c r="L350" s="5" t="n">
        <f aca="false">IF(H350=0,0,I350/H350)</f>
        <v>0.125</v>
      </c>
      <c r="M350" s="6" t="n">
        <f aca="false">IF(I350=0,0,J350/I350)</f>
        <v>1707.02</v>
      </c>
    </row>
    <row r="351" customFormat="false" ht="15" hidden="false" customHeight="false" outlineLevel="0" collapsed="false">
      <c r="A351" s="2" t="n">
        <v>350</v>
      </c>
      <c r="B351" s="3" t="s">
        <v>85</v>
      </c>
      <c r="C351" s="3" t="s">
        <v>65</v>
      </c>
      <c r="D351" s="3" t="s">
        <v>24</v>
      </c>
      <c r="E351" s="3" t="s">
        <v>28</v>
      </c>
      <c r="F351" s="3" t="s">
        <v>23</v>
      </c>
      <c r="G351" s="3" t="s">
        <v>21</v>
      </c>
      <c r="H351" s="2" t="n">
        <v>7</v>
      </c>
      <c r="I351" s="2" t="n">
        <v>0</v>
      </c>
      <c r="J351" s="4" t="n">
        <v>0</v>
      </c>
      <c r="K351" s="4" t="n">
        <v>0</v>
      </c>
      <c r="L351" s="5" t="n">
        <f aca="false">IF(H351=0,0,I351/H351)</f>
        <v>0</v>
      </c>
      <c r="M351" s="6" t="n">
        <f aca="false">IF(I351=0,0,J351/I351)</f>
        <v>0</v>
      </c>
    </row>
    <row r="352" customFormat="false" ht="15" hidden="false" customHeight="false" outlineLevel="0" collapsed="false">
      <c r="A352" s="2" t="n">
        <v>351</v>
      </c>
      <c r="B352" s="3" t="s">
        <v>86</v>
      </c>
      <c r="C352" s="3" t="s">
        <v>65</v>
      </c>
      <c r="D352" s="3" t="s">
        <v>27</v>
      </c>
      <c r="E352" s="3" t="s">
        <v>28</v>
      </c>
      <c r="F352" s="3" t="s">
        <v>23</v>
      </c>
      <c r="G352" s="3" t="s">
        <v>31</v>
      </c>
      <c r="H352" s="2" t="n">
        <v>8</v>
      </c>
      <c r="I352" s="2" t="n">
        <v>2</v>
      </c>
      <c r="J352" s="4" t="n">
        <v>2823.31</v>
      </c>
      <c r="K352" s="4" t="n">
        <v>530.3</v>
      </c>
      <c r="L352" s="5" t="n">
        <f aca="false">IF(H352=0,0,I352/H352)</f>
        <v>0.25</v>
      </c>
      <c r="M352" s="6" t="n">
        <f aca="false">IF(I352=0,0,J352/I352)</f>
        <v>1411.655</v>
      </c>
    </row>
    <row r="353" customFormat="false" ht="15" hidden="false" customHeight="false" outlineLevel="0" collapsed="false">
      <c r="A353" s="2" t="n">
        <v>352</v>
      </c>
      <c r="B353" s="3" t="s">
        <v>86</v>
      </c>
      <c r="C353" s="3" t="s">
        <v>65</v>
      </c>
      <c r="D353" s="3" t="s">
        <v>22</v>
      </c>
      <c r="E353" s="3" t="s">
        <v>28</v>
      </c>
      <c r="F353" s="3" t="s">
        <v>17</v>
      </c>
      <c r="G353" s="3" t="s">
        <v>21</v>
      </c>
      <c r="H353" s="2" t="n">
        <v>8</v>
      </c>
      <c r="I353" s="2" t="n">
        <v>3</v>
      </c>
      <c r="J353" s="4" t="n">
        <v>384.01</v>
      </c>
      <c r="K353" s="4" t="n">
        <v>165.03</v>
      </c>
      <c r="L353" s="5" t="n">
        <f aca="false">IF(H353=0,0,I353/H353)</f>
        <v>0.375</v>
      </c>
      <c r="M353" s="6" t="n">
        <f aca="false">IF(I353=0,0,J353/I353)</f>
        <v>128.003333333333</v>
      </c>
    </row>
    <row r="354" customFormat="false" ht="15" hidden="false" customHeight="false" outlineLevel="0" collapsed="false">
      <c r="A354" s="2" t="n">
        <v>353</v>
      </c>
      <c r="B354" s="3" t="s">
        <v>86</v>
      </c>
      <c r="C354" s="3" t="s">
        <v>65</v>
      </c>
      <c r="D354" s="3" t="s">
        <v>19</v>
      </c>
      <c r="E354" s="3" t="s">
        <v>28</v>
      </c>
      <c r="F354" s="3" t="s">
        <v>23</v>
      </c>
      <c r="G354" s="3" t="s">
        <v>34</v>
      </c>
      <c r="H354" s="2" t="n">
        <v>7</v>
      </c>
      <c r="I354" s="2" t="n">
        <v>0</v>
      </c>
      <c r="J354" s="4" t="n">
        <v>0</v>
      </c>
      <c r="K354" s="4" t="n">
        <v>0</v>
      </c>
      <c r="L354" s="5" t="n">
        <f aca="false">IF(H354=0,0,I354/H354)</f>
        <v>0</v>
      </c>
      <c r="M354" s="6" t="n">
        <f aca="false">IF(I354=0,0,J354/I354)</f>
        <v>0</v>
      </c>
    </row>
    <row r="355" customFormat="false" ht="15" hidden="false" customHeight="false" outlineLevel="0" collapsed="false">
      <c r="A355" s="2" t="n">
        <v>354</v>
      </c>
      <c r="B355" s="3" t="s">
        <v>87</v>
      </c>
      <c r="C355" s="3" t="s">
        <v>65</v>
      </c>
      <c r="D355" s="3" t="s">
        <v>24</v>
      </c>
      <c r="E355" s="3" t="s">
        <v>16</v>
      </c>
      <c r="F355" s="3" t="s">
        <v>29</v>
      </c>
      <c r="G355" s="3" t="s">
        <v>26</v>
      </c>
      <c r="H355" s="2" t="n">
        <v>9</v>
      </c>
      <c r="I355" s="2" t="n">
        <v>4</v>
      </c>
      <c r="J355" s="4" t="n">
        <v>1405.21</v>
      </c>
      <c r="K355" s="4" t="n">
        <v>366.17</v>
      </c>
      <c r="L355" s="5" t="n">
        <f aca="false">IF(H355=0,0,I355/H355)</f>
        <v>0.444444444444444</v>
      </c>
      <c r="M355" s="6" t="n">
        <f aca="false">IF(I355=0,0,J355/I355)</f>
        <v>351.3025</v>
      </c>
    </row>
    <row r="356" customFormat="false" ht="15" hidden="false" customHeight="false" outlineLevel="0" collapsed="false">
      <c r="A356" s="2" t="n">
        <v>355</v>
      </c>
      <c r="B356" s="3" t="s">
        <v>87</v>
      </c>
      <c r="C356" s="3" t="s">
        <v>65</v>
      </c>
      <c r="D356" s="3" t="s">
        <v>19</v>
      </c>
      <c r="E356" s="3" t="s">
        <v>25</v>
      </c>
      <c r="F356" s="3" t="s">
        <v>23</v>
      </c>
      <c r="G356" s="3" t="s">
        <v>21</v>
      </c>
      <c r="H356" s="2" t="n">
        <v>7</v>
      </c>
      <c r="I356" s="2" t="n">
        <v>2</v>
      </c>
      <c r="J356" s="4" t="n">
        <v>1829.99</v>
      </c>
      <c r="K356" s="4" t="n">
        <v>240.91</v>
      </c>
      <c r="L356" s="5" t="n">
        <f aca="false">IF(H356=0,0,I356/H356)</f>
        <v>0.285714285714286</v>
      </c>
      <c r="M356" s="6" t="n">
        <f aca="false">IF(I356=0,0,J356/I356)</f>
        <v>914.995</v>
      </c>
    </row>
    <row r="357" customFormat="false" ht="15" hidden="false" customHeight="false" outlineLevel="0" collapsed="false">
      <c r="A357" s="2" t="n">
        <v>356</v>
      </c>
      <c r="B357" s="3" t="s">
        <v>87</v>
      </c>
      <c r="C357" s="3" t="s">
        <v>65</v>
      </c>
      <c r="D357" s="3" t="s">
        <v>22</v>
      </c>
      <c r="E357" s="3" t="s">
        <v>16</v>
      </c>
      <c r="F357" s="3" t="s">
        <v>29</v>
      </c>
      <c r="G357" s="3" t="s">
        <v>31</v>
      </c>
      <c r="H357" s="2" t="n">
        <v>14</v>
      </c>
      <c r="I357" s="2" t="n">
        <v>3</v>
      </c>
      <c r="J357" s="4" t="n">
        <v>383.41</v>
      </c>
      <c r="K357" s="4" t="n">
        <v>154.29</v>
      </c>
      <c r="L357" s="5" t="n">
        <f aca="false">IF(H357=0,0,I357/H357)</f>
        <v>0.214285714285714</v>
      </c>
      <c r="M357" s="6" t="n">
        <f aca="false">IF(I357=0,0,J357/I357)</f>
        <v>127.803333333333</v>
      </c>
    </row>
    <row r="358" customFormat="false" ht="15" hidden="false" customHeight="false" outlineLevel="0" collapsed="false">
      <c r="A358" s="2" t="n">
        <v>357</v>
      </c>
      <c r="B358" s="3" t="s">
        <v>87</v>
      </c>
      <c r="C358" s="3" t="s">
        <v>65</v>
      </c>
      <c r="D358" s="3" t="s">
        <v>15</v>
      </c>
      <c r="E358" s="3" t="s">
        <v>25</v>
      </c>
      <c r="F358" s="3" t="s">
        <v>23</v>
      </c>
      <c r="G358" s="3" t="s">
        <v>18</v>
      </c>
      <c r="H358" s="2" t="n">
        <v>6</v>
      </c>
      <c r="I358" s="2" t="n">
        <v>3</v>
      </c>
      <c r="J358" s="4" t="n">
        <v>518.53</v>
      </c>
      <c r="K358" s="4" t="n">
        <v>145.16</v>
      </c>
      <c r="L358" s="5" t="n">
        <f aca="false">IF(H358=0,0,I358/H358)</f>
        <v>0.5</v>
      </c>
      <c r="M358" s="6" t="n">
        <f aca="false">IF(I358=0,0,J358/I358)</f>
        <v>172.843333333333</v>
      </c>
    </row>
    <row r="359" customFormat="false" ht="15" hidden="false" customHeight="false" outlineLevel="0" collapsed="false">
      <c r="A359" s="2" t="n">
        <v>358</v>
      </c>
      <c r="B359" s="3" t="s">
        <v>87</v>
      </c>
      <c r="C359" s="3" t="s">
        <v>65</v>
      </c>
      <c r="D359" s="3" t="s">
        <v>22</v>
      </c>
      <c r="E359" s="3" t="s">
        <v>33</v>
      </c>
      <c r="F359" s="3" t="s">
        <v>23</v>
      </c>
      <c r="G359" s="3" t="s">
        <v>34</v>
      </c>
      <c r="H359" s="2" t="n">
        <v>6</v>
      </c>
      <c r="I359" s="2" t="n">
        <v>1</v>
      </c>
      <c r="J359" s="4" t="n">
        <v>137.7</v>
      </c>
      <c r="K359" s="4" t="n">
        <v>61.95</v>
      </c>
      <c r="L359" s="5" t="n">
        <f aca="false">IF(H359=0,0,I359/H359)</f>
        <v>0.166666666666667</v>
      </c>
      <c r="M359" s="6" t="n">
        <f aca="false">IF(I359=0,0,J359/I359)</f>
        <v>137.7</v>
      </c>
    </row>
    <row r="360" customFormat="false" ht="15" hidden="false" customHeight="false" outlineLevel="0" collapsed="false">
      <c r="A360" s="2" t="n">
        <v>359</v>
      </c>
      <c r="B360" s="3" t="s">
        <v>87</v>
      </c>
      <c r="C360" s="3" t="s">
        <v>65</v>
      </c>
      <c r="D360" s="3" t="s">
        <v>27</v>
      </c>
      <c r="E360" s="3" t="s">
        <v>25</v>
      </c>
      <c r="F360" s="3" t="s">
        <v>23</v>
      </c>
      <c r="G360" s="3" t="s">
        <v>34</v>
      </c>
      <c r="H360" s="2" t="n">
        <v>7</v>
      </c>
      <c r="I360" s="2" t="n">
        <v>0</v>
      </c>
      <c r="J360" s="4" t="n">
        <v>0</v>
      </c>
      <c r="K360" s="4" t="n">
        <v>0</v>
      </c>
      <c r="L360" s="5" t="n">
        <f aca="false">IF(H360=0,0,I360/H360)</f>
        <v>0</v>
      </c>
      <c r="M360" s="6" t="n">
        <f aca="false">IF(I360=0,0,J360/I360)</f>
        <v>0</v>
      </c>
    </row>
    <row r="361" customFormat="false" ht="15" hidden="false" customHeight="false" outlineLevel="0" collapsed="false">
      <c r="A361" s="2" t="n">
        <v>360</v>
      </c>
      <c r="B361" s="3" t="s">
        <v>87</v>
      </c>
      <c r="C361" s="3" t="s">
        <v>65</v>
      </c>
      <c r="D361" s="3" t="s">
        <v>27</v>
      </c>
      <c r="E361" s="3" t="s">
        <v>16</v>
      </c>
      <c r="F361" s="3" t="s">
        <v>17</v>
      </c>
      <c r="G361" s="3" t="s">
        <v>21</v>
      </c>
      <c r="H361" s="2" t="n">
        <v>6</v>
      </c>
      <c r="I361" s="2" t="n">
        <v>0</v>
      </c>
      <c r="J361" s="4" t="n">
        <v>0</v>
      </c>
      <c r="K361" s="4" t="n">
        <v>0</v>
      </c>
      <c r="L361" s="5" t="n">
        <f aca="false">IF(H361=0,0,I361/H361)</f>
        <v>0</v>
      </c>
      <c r="M361" s="6" t="n">
        <f aca="false">IF(I361=0,0,J361/I361)</f>
        <v>0</v>
      </c>
    </row>
    <row r="362" customFormat="false" ht="15" hidden="false" customHeight="false" outlineLevel="0" collapsed="false">
      <c r="A362" s="2" t="n">
        <v>361</v>
      </c>
      <c r="B362" s="3" t="s">
        <v>87</v>
      </c>
      <c r="C362" s="3" t="s">
        <v>65</v>
      </c>
      <c r="D362" s="3" t="s">
        <v>15</v>
      </c>
      <c r="E362" s="3" t="s">
        <v>25</v>
      </c>
      <c r="F362" s="3" t="s">
        <v>29</v>
      </c>
      <c r="G362" s="3" t="s">
        <v>26</v>
      </c>
      <c r="H362" s="2" t="n">
        <v>5</v>
      </c>
      <c r="I362" s="2" t="n">
        <v>0</v>
      </c>
      <c r="J362" s="4" t="n">
        <v>0</v>
      </c>
      <c r="K362" s="4" t="n">
        <v>0</v>
      </c>
      <c r="L362" s="5" t="n">
        <f aca="false">IF(H362=0,0,I362/H362)</f>
        <v>0</v>
      </c>
      <c r="M362" s="6" t="n">
        <f aca="false">IF(I362=0,0,J362/I362)</f>
        <v>0</v>
      </c>
    </row>
    <row r="363" customFormat="false" ht="15" hidden="false" customHeight="false" outlineLevel="0" collapsed="false">
      <c r="A363" s="2" t="n">
        <v>362</v>
      </c>
      <c r="B363" s="3" t="s">
        <v>87</v>
      </c>
      <c r="C363" s="3" t="s">
        <v>65</v>
      </c>
      <c r="D363" s="3" t="s">
        <v>24</v>
      </c>
      <c r="E363" s="3" t="s">
        <v>33</v>
      </c>
      <c r="F363" s="3" t="s">
        <v>23</v>
      </c>
      <c r="G363" s="3" t="s">
        <v>21</v>
      </c>
      <c r="H363" s="2" t="n">
        <v>9</v>
      </c>
      <c r="I363" s="2" t="n">
        <v>0</v>
      </c>
      <c r="J363" s="4" t="n">
        <v>0</v>
      </c>
      <c r="K363" s="4" t="n">
        <v>0</v>
      </c>
      <c r="L363" s="5" t="n">
        <f aca="false">IF(H363=0,0,I363/H363)</f>
        <v>0</v>
      </c>
      <c r="M363" s="6" t="n">
        <f aca="false">IF(I363=0,0,J363/I363)</f>
        <v>0</v>
      </c>
    </row>
    <row r="364" customFormat="false" ht="15" hidden="false" customHeight="false" outlineLevel="0" collapsed="false">
      <c r="A364" s="2" t="n">
        <v>363</v>
      </c>
      <c r="B364" s="3" t="s">
        <v>87</v>
      </c>
      <c r="C364" s="3" t="s">
        <v>65</v>
      </c>
      <c r="D364" s="3" t="s">
        <v>15</v>
      </c>
      <c r="E364" s="3" t="s">
        <v>33</v>
      </c>
      <c r="F364" s="3" t="s">
        <v>23</v>
      </c>
      <c r="G364" s="3" t="s">
        <v>30</v>
      </c>
      <c r="H364" s="2" t="n">
        <v>4</v>
      </c>
      <c r="I364" s="2" t="n">
        <v>1</v>
      </c>
      <c r="J364" s="4" t="n">
        <v>163.89</v>
      </c>
      <c r="K364" s="4" t="n">
        <v>49.69</v>
      </c>
      <c r="L364" s="5" t="n">
        <f aca="false">IF(H364=0,0,I364/H364)</f>
        <v>0.25</v>
      </c>
      <c r="M364" s="6" t="n">
        <f aca="false">IF(I364=0,0,J364/I364)</f>
        <v>163.89</v>
      </c>
    </row>
    <row r="365" customFormat="false" ht="15" hidden="false" customHeight="false" outlineLevel="0" collapsed="false">
      <c r="A365" s="2" t="n">
        <v>364</v>
      </c>
      <c r="B365" s="3" t="s">
        <v>88</v>
      </c>
      <c r="C365" s="3" t="s">
        <v>65</v>
      </c>
      <c r="D365" s="3" t="s">
        <v>27</v>
      </c>
      <c r="E365" s="3" t="s">
        <v>25</v>
      </c>
      <c r="F365" s="3" t="s">
        <v>23</v>
      </c>
      <c r="G365" s="3" t="s">
        <v>31</v>
      </c>
      <c r="H365" s="2" t="n">
        <v>5</v>
      </c>
      <c r="I365" s="2" t="n">
        <v>0</v>
      </c>
      <c r="J365" s="4" t="n">
        <v>0</v>
      </c>
      <c r="K365" s="4" t="n">
        <v>0</v>
      </c>
      <c r="L365" s="5" t="n">
        <f aca="false">IF(H365=0,0,I365/H365)</f>
        <v>0</v>
      </c>
      <c r="M365" s="6" t="n">
        <f aca="false">IF(I365=0,0,J365/I365)</f>
        <v>0</v>
      </c>
    </row>
    <row r="366" customFormat="false" ht="15" hidden="false" customHeight="false" outlineLevel="0" collapsed="false">
      <c r="A366" s="2" t="n">
        <v>365</v>
      </c>
      <c r="B366" s="3" t="s">
        <v>88</v>
      </c>
      <c r="C366" s="3" t="s">
        <v>65</v>
      </c>
      <c r="D366" s="3" t="s">
        <v>24</v>
      </c>
      <c r="E366" s="3" t="s">
        <v>33</v>
      </c>
      <c r="F366" s="3" t="s">
        <v>17</v>
      </c>
      <c r="G366" s="3" t="s">
        <v>26</v>
      </c>
      <c r="H366" s="2" t="n">
        <v>5</v>
      </c>
      <c r="I366" s="2" t="n">
        <v>2</v>
      </c>
      <c r="J366" s="4" t="n">
        <v>580.69</v>
      </c>
      <c r="K366" s="4" t="n">
        <v>139.66</v>
      </c>
      <c r="L366" s="5" t="n">
        <f aca="false">IF(H366=0,0,I366/H366)</f>
        <v>0.4</v>
      </c>
      <c r="M366" s="6" t="n">
        <f aca="false">IF(I366=0,0,J366/I366)</f>
        <v>290.345</v>
      </c>
    </row>
    <row r="367" customFormat="false" ht="15" hidden="false" customHeight="false" outlineLevel="0" collapsed="false">
      <c r="A367" s="2" t="n">
        <v>366</v>
      </c>
      <c r="B367" s="3" t="s">
        <v>88</v>
      </c>
      <c r="C367" s="3" t="s">
        <v>65</v>
      </c>
      <c r="D367" s="3" t="s">
        <v>15</v>
      </c>
      <c r="E367" s="3" t="s">
        <v>28</v>
      </c>
      <c r="F367" s="3" t="s">
        <v>23</v>
      </c>
      <c r="G367" s="3" t="s">
        <v>30</v>
      </c>
      <c r="H367" s="2" t="n">
        <v>4</v>
      </c>
      <c r="I367" s="2" t="n">
        <v>1</v>
      </c>
      <c r="J367" s="4" t="n">
        <v>226.43</v>
      </c>
      <c r="K367" s="4" t="n">
        <v>64.16</v>
      </c>
      <c r="L367" s="5" t="n">
        <f aca="false">IF(H367=0,0,I367/H367)</f>
        <v>0.25</v>
      </c>
      <c r="M367" s="6" t="n">
        <f aca="false">IF(I367=0,0,J367/I367)</f>
        <v>226.43</v>
      </c>
    </row>
    <row r="368" customFormat="false" ht="15" hidden="false" customHeight="false" outlineLevel="0" collapsed="false">
      <c r="A368" s="2" t="n">
        <v>367</v>
      </c>
      <c r="B368" s="3" t="s">
        <v>88</v>
      </c>
      <c r="C368" s="3" t="s">
        <v>65</v>
      </c>
      <c r="D368" s="3" t="s">
        <v>22</v>
      </c>
      <c r="E368" s="3" t="s">
        <v>16</v>
      </c>
      <c r="F368" s="3" t="s">
        <v>23</v>
      </c>
      <c r="G368" s="3" t="s">
        <v>21</v>
      </c>
      <c r="H368" s="2" t="n">
        <v>6</v>
      </c>
      <c r="I368" s="2" t="n">
        <v>1</v>
      </c>
      <c r="J368" s="4" t="n">
        <v>123.21</v>
      </c>
      <c r="K368" s="4" t="n">
        <v>51.69</v>
      </c>
      <c r="L368" s="5" t="n">
        <f aca="false">IF(H368=0,0,I368/H368)</f>
        <v>0.166666666666667</v>
      </c>
      <c r="M368" s="6" t="n">
        <f aca="false">IF(I368=0,0,J368/I368)</f>
        <v>123.21</v>
      </c>
    </row>
    <row r="369" customFormat="false" ht="15" hidden="false" customHeight="false" outlineLevel="0" collapsed="false">
      <c r="A369" s="2" t="n">
        <v>368</v>
      </c>
      <c r="B369" s="3" t="s">
        <v>88</v>
      </c>
      <c r="C369" s="3" t="s">
        <v>65</v>
      </c>
      <c r="D369" s="3" t="s">
        <v>19</v>
      </c>
      <c r="E369" s="3" t="s">
        <v>25</v>
      </c>
      <c r="F369" s="3" t="s">
        <v>23</v>
      </c>
      <c r="G369" s="3" t="s">
        <v>21</v>
      </c>
      <c r="H369" s="2" t="n">
        <v>10</v>
      </c>
      <c r="I369" s="2" t="n">
        <v>3</v>
      </c>
      <c r="J369" s="4" t="n">
        <v>2922.46</v>
      </c>
      <c r="K369" s="4" t="n">
        <v>382.05</v>
      </c>
      <c r="L369" s="5" t="n">
        <f aca="false">IF(H369=0,0,I369/H369)</f>
        <v>0.3</v>
      </c>
      <c r="M369" s="6" t="n">
        <f aca="false">IF(I369=0,0,J369/I369)</f>
        <v>974.153333333333</v>
      </c>
    </row>
    <row r="370" customFormat="false" ht="15" hidden="false" customHeight="false" outlineLevel="0" collapsed="false">
      <c r="A370" s="2" t="n">
        <v>369</v>
      </c>
      <c r="B370" s="3" t="s">
        <v>88</v>
      </c>
      <c r="C370" s="3" t="s">
        <v>65</v>
      </c>
      <c r="D370" s="3" t="s">
        <v>22</v>
      </c>
      <c r="E370" s="3" t="s">
        <v>16</v>
      </c>
      <c r="F370" s="3" t="s">
        <v>23</v>
      </c>
      <c r="G370" s="3" t="s">
        <v>21</v>
      </c>
      <c r="H370" s="2" t="n">
        <v>7</v>
      </c>
      <c r="I370" s="2" t="n">
        <v>4</v>
      </c>
      <c r="J370" s="4" t="n">
        <v>582.43</v>
      </c>
      <c r="K370" s="4" t="n">
        <v>244.65</v>
      </c>
      <c r="L370" s="5" t="n">
        <f aca="false">IF(H370=0,0,I370/H370)</f>
        <v>0.571428571428571</v>
      </c>
      <c r="M370" s="6" t="n">
        <f aca="false">IF(I370=0,0,J370/I370)</f>
        <v>145.6075</v>
      </c>
    </row>
    <row r="371" customFormat="false" ht="15" hidden="false" customHeight="false" outlineLevel="0" collapsed="false">
      <c r="A371" s="2" t="n">
        <v>370</v>
      </c>
      <c r="B371" s="3" t="s">
        <v>88</v>
      </c>
      <c r="C371" s="3" t="s">
        <v>65</v>
      </c>
      <c r="D371" s="3" t="s">
        <v>27</v>
      </c>
      <c r="E371" s="3" t="s">
        <v>16</v>
      </c>
      <c r="F371" s="3" t="s">
        <v>23</v>
      </c>
      <c r="G371" s="3" t="s">
        <v>31</v>
      </c>
      <c r="H371" s="2" t="n">
        <v>12</v>
      </c>
      <c r="I371" s="2" t="n">
        <v>1</v>
      </c>
      <c r="J371" s="4" t="n">
        <v>1441.94</v>
      </c>
      <c r="K371" s="4" t="n">
        <v>244.67</v>
      </c>
      <c r="L371" s="5" t="n">
        <f aca="false">IF(H371=0,0,I371/H371)</f>
        <v>0.0833333333333333</v>
      </c>
      <c r="M371" s="6" t="n">
        <f aca="false">IF(I371=0,0,J371/I371)</f>
        <v>1441.94</v>
      </c>
    </row>
    <row r="372" customFormat="false" ht="15" hidden="false" customHeight="false" outlineLevel="0" collapsed="false">
      <c r="A372" s="2" t="n">
        <v>371</v>
      </c>
      <c r="B372" s="3" t="s">
        <v>89</v>
      </c>
      <c r="C372" s="3" t="s">
        <v>65</v>
      </c>
      <c r="D372" s="3" t="s">
        <v>24</v>
      </c>
      <c r="E372" s="3" t="s">
        <v>33</v>
      </c>
      <c r="F372" s="3" t="s">
        <v>23</v>
      </c>
      <c r="G372" s="3" t="s">
        <v>30</v>
      </c>
      <c r="H372" s="2" t="n">
        <v>9</v>
      </c>
      <c r="I372" s="2" t="n">
        <v>2</v>
      </c>
      <c r="J372" s="4" t="n">
        <v>626.58</v>
      </c>
      <c r="K372" s="4" t="n">
        <v>150.87</v>
      </c>
      <c r="L372" s="5" t="n">
        <f aca="false">IF(H372=0,0,I372/H372)</f>
        <v>0.222222222222222</v>
      </c>
      <c r="M372" s="6" t="n">
        <f aca="false">IF(I372=0,0,J372/I372)</f>
        <v>313.29</v>
      </c>
    </row>
    <row r="373" customFormat="false" ht="15" hidden="false" customHeight="false" outlineLevel="0" collapsed="false">
      <c r="A373" s="2" t="n">
        <v>372</v>
      </c>
      <c r="B373" s="3" t="s">
        <v>89</v>
      </c>
      <c r="C373" s="3" t="s">
        <v>65</v>
      </c>
      <c r="D373" s="3" t="s">
        <v>22</v>
      </c>
      <c r="E373" s="3" t="s">
        <v>28</v>
      </c>
      <c r="F373" s="3" t="s">
        <v>29</v>
      </c>
      <c r="G373" s="3" t="s">
        <v>31</v>
      </c>
      <c r="H373" s="2" t="n">
        <v>5</v>
      </c>
      <c r="I373" s="2" t="n">
        <v>1</v>
      </c>
      <c r="J373" s="4" t="n">
        <v>134.13</v>
      </c>
      <c r="K373" s="4" t="n">
        <v>54.67</v>
      </c>
      <c r="L373" s="5" t="n">
        <f aca="false">IF(H373=0,0,I373/H373)</f>
        <v>0.2</v>
      </c>
      <c r="M373" s="6" t="n">
        <f aca="false">IF(I373=0,0,J373/I373)</f>
        <v>134.13</v>
      </c>
    </row>
    <row r="374" customFormat="false" ht="15" hidden="false" customHeight="false" outlineLevel="0" collapsed="false">
      <c r="A374" s="2" t="n">
        <v>373</v>
      </c>
      <c r="B374" s="3" t="s">
        <v>89</v>
      </c>
      <c r="C374" s="3" t="s">
        <v>65</v>
      </c>
      <c r="D374" s="3" t="s">
        <v>24</v>
      </c>
      <c r="E374" s="3" t="s">
        <v>28</v>
      </c>
      <c r="F374" s="3" t="s">
        <v>23</v>
      </c>
      <c r="G374" s="3" t="s">
        <v>34</v>
      </c>
      <c r="H374" s="2" t="n">
        <v>6</v>
      </c>
      <c r="I374" s="2" t="n">
        <v>1</v>
      </c>
      <c r="J374" s="4" t="n">
        <v>248.11</v>
      </c>
      <c r="K374" s="4" t="n">
        <v>63.47</v>
      </c>
      <c r="L374" s="5" t="n">
        <f aca="false">IF(H374=0,0,I374/H374)</f>
        <v>0.166666666666667</v>
      </c>
      <c r="M374" s="6" t="n">
        <f aca="false">IF(I374=0,0,J374/I374)</f>
        <v>248.11</v>
      </c>
    </row>
    <row r="375" customFormat="false" ht="15" hidden="false" customHeight="false" outlineLevel="0" collapsed="false">
      <c r="A375" s="2" t="n">
        <v>374</v>
      </c>
      <c r="B375" s="3" t="s">
        <v>89</v>
      </c>
      <c r="C375" s="3" t="s">
        <v>65</v>
      </c>
      <c r="D375" s="3" t="s">
        <v>24</v>
      </c>
      <c r="E375" s="3" t="s">
        <v>33</v>
      </c>
      <c r="F375" s="3" t="s">
        <v>23</v>
      </c>
      <c r="G375" s="3" t="s">
        <v>30</v>
      </c>
      <c r="H375" s="2" t="n">
        <v>4</v>
      </c>
      <c r="I375" s="2" t="n">
        <v>0</v>
      </c>
      <c r="J375" s="4" t="n">
        <v>0</v>
      </c>
      <c r="K375" s="4" t="n">
        <v>0</v>
      </c>
      <c r="L375" s="5" t="n">
        <f aca="false">IF(H375=0,0,I375/H375)</f>
        <v>0</v>
      </c>
      <c r="M375" s="6" t="n">
        <f aca="false">IF(I375=0,0,J375/I375)</f>
        <v>0</v>
      </c>
    </row>
    <row r="376" customFormat="false" ht="15" hidden="false" customHeight="false" outlineLevel="0" collapsed="false">
      <c r="A376" s="2" t="n">
        <v>375</v>
      </c>
      <c r="B376" s="3" t="s">
        <v>89</v>
      </c>
      <c r="C376" s="3" t="s">
        <v>65</v>
      </c>
      <c r="D376" s="3" t="s">
        <v>22</v>
      </c>
      <c r="E376" s="3" t="s">
        <v>28</v>
      </c>
      <c r="F376" s="3" t="s">
        <v>17</v>
      </c>
      <c r="G376" s="3" t="s">
        <v>31</v>
      </c>
      <c r="H376" s="2" t="n">
        <v>5</v>
      </c>
      <c r="I376" s="2" t="n">
        <v>1</v>
      </c>
      <c r="J376" s="4" t="n">
        <v>100.84</v>
      </c>
      <c r="K376" s="4" t="n">
        <v>42.38</v>
      </c>
      <c r="L376" s="5" t="n">
        <f aca="false">IF(H376=0,0,I376/H376)</f>
        <v>0.2</v>
      </c>
      <c r="M376" s="6" t="n">
        <f aca="false">IF(I376=0,0,J376/I376)</f>
        <v>100.84</v>
      </c>
    </row>
    <row r="377" customFormat="false" ht="15" hidden="false" customHeight="false" outlineLevel="0" collapsed="false">
      <c r="A377" s="2" t="n">
        <v>376</v>
      </c>
      <c r="B377" s="3" t="s">
        <v>89</v>
      </c>
      <c r="C377" s="3" t="s">
        <v>65</v>
      </c>
      <c r="D377" s="3" t="s">
        <v>15</v>
      </c>
      <c r="E377" s="3" t="s">
        <v>33</v>
      </c>
      <c r="F377" s="3" t="s">
        <v>23</v>
      </c>
      <c r="G377" s="3" t="s">
        <v>30</v>
      </c>
      <c r="H377" s="2" t="n">
        <v>7</v>
      </c>
      <c r="I377" s="2" t="n">
        <v>1</v>
      </c>
      <c r="J377" s="4" t="n">
        <v>190.53</v>
      </c>
      <c r="K377" s="4" t="n">
        <v>58.33</v>
      </c>
      <c r="L377" s="5" t="n">
        <f aca="false">IF(H377=0,0,I377/H377)</f>
        <v>0.142857142857143</v>
      </c>
      <c r="M377" s="6" t="n">
        <f aca="false">IF(I377=0,0,J377/I377)</f>
        <v>190.53</v>
      </c>
    </row>
    <row r="378" customFormat="false" ht="15" hidden="false" customHeight="false" outlineLevel="0" collapsed="false">
      <c r="A378" s="2" t="n">
        <v>377</v>
      </c>
      <c r="B378" s="3" t="s">
        <v>89</v>
      </c>
      <c r="C378" s="3" t="s">
        <v>65</v>
      </c>
      <c r="D378" s="3" t="s">
        <v>24</v>
      </c>
      <c r="E378" s="3" t="s">
        <v>33</v>
      </c>
      <c r="F378" s="3" t="s">
        <v>23</v>
      </c>
      <c r="G378" s="3" t="s">
        <v>21</v>
      </c>
      <c r="H378" s="2" t="n">
        <v>10</v>
      </c>
      <c r="I378" s="2" t="n">
        <v>3</v>
      </c>
      <c r="J378" s="4" t="n">
        <v>899.38</v>
      </c>
      <c r="K378" s="4" t="n">
        <v>241.4</v>
      </c>
      <c r="L378" s="5" t="n">
        <f aca="false">IF(H378=0,0,I378/H378)</f>
        <v>0.3</v>
      </c>
      <c r="M378" s="6" t="n">
        <f aca="false">IF(I378=0,0,J378/I378)</f>
        <v>299.793333333333</v>
      </c>
    </row>
    <row r="379" customFormat="false" ht="15" hidden="false" customHeight="false" outlineLevel="0" collapsed="false">
      <c r="A379" s="2" t="n">
        <v>378</v>
      </c>
      <c r="B379" s="3" t="s">
        <v>89</v>
      </c>
      <c r="C379" s="3" t="s">
        <v>65</v>
      </c>
      <c r="D379" s="3" t="s">
        <v>24</v>
      </c>
      <c r="E379" s="3" t="s">
        <v>25</v>
      </c>
      <c r="F379" s="3" t="s">
        <v>23</v>
      </c>
      <c r="G379" s="3" t="s">
        <v>30</v>
      </c>
      <c r="H379" s="2" t="n">
        <v>6</v>
      </c>
      <c r="I379" s="2" t="n">
        <v>1</v>
      </c>
      <c r="J379" s="4" t="n">
        <v>350.97</v>
      </c>
      <c r="K379" s="4" t="n">
        <v>91.42</v>
      </c>
      <c r="L379" s="5" t="n">
        <f aca="false">IF(H379=0,0,I379/H379)</f>
        <v>0.166666666666667</v>
      </c>
      <c r="M379" s="6" t="n">
        <f aca="false">IF(I379=0,0,J379/I379)</f>
        <v>350.97</v>
      </c>
    </row>
    <row r="380" customFormat="false" ht="15" hidden="false" customHeight="false" outlineLevel="0" collapsed="false">
      <c r="A380" s="2" t="n">
        <v>379</v>
      </c>
      <c r="B380" s="3" t="s">
        <v>89</v>
      </c>
      <c r="C380" s="3" t="s">
        <v>65</v>
      </c>
      <c r="D380" s="3" t="s">
        <v>24</v>
      </c>
      <c r="E380" s="3" t="s">
        <v>28</v>
      </c>
      <c r="F380" s="3" t="s">
        <v>23</v>
      </c>
      <c r="G380" s="3" t="s">
        <v>26</v>
      </c>
      <c r="H380" s="2" t="n">
        <v>7</v>
      </c>
      <c r="I380" s="2" t="n">
        <v>1</v>
      </c>
      <c r="J380" s="4" t="n">
        <v>285.58</v>
      </c>
      <c r="K380" s="4" t="n">
        <v>66.55</v>
      </c>
      <c r="L380" s="5" t="n">
        <f aca="false">IF(H380=0,0,I380/H380)</f>
        <v>0.142857142857143</v>
      </c>
      <c r="M380" s="6" t="n">
        <f aca="false">IF(I380=0,0,J380/I380)</f>
        <v>285.58</v>
      </c>
    </row>
    <row r="381" customFormat="false" ht="15" hidden="false" customHeight="false" outlineLevel="0" collapsed="false">
      <c r="A381" s="2" t="n">
        <v>380</v>
      </c>
      <c r="B381" s="3" t="s">
        <v>90</v>
      </c>
      <c r="C381" s="3" t="s">
        <v>65</v>
      </c>
      <c r="D381" s="3" t="s">
        <v>22</v>
      </c>
      <c r="E381" s="3" t="s">
        <v>25</v>
      </c>
      <c r="F381" s="3" t="s">
        <v>23</v>
      </c>
      <c r="G381" s="3" t="s">
        <v>21</v>
      </c>
      <c r="H381" s="2" t="n">
        <v>5</v>
      </c>
      <c r="I381" s="2" t="n">
        <v>1</v>
      </c>
      <c r="J381" s="4" t="n">
        <v>107.51</v>
      </c>
      <c r="K381" s="4" t="n">
        <v>46.5</v>
      </c>
      <c r="L381" s="5" t="n">
        <f aca="false">IF(H381=0,0,I381/H381)</f>
        <v>0.2</v>
      </c>
      <c r="M381" s="6" t="n">
        <f aca="false">IF(I381=0,0,J381/I381)</f>
        <v>107.51</v>
      </c>
    </row>
    <row r="382" customFormat="false" ht="15" hidden="false" customHeight="false" outlineLevel="0" collapsed="false">
      <c r="A382" s="2" t="n">
        <v>381</v>
      </c>
      <c r="B382" s="3" t="s">
        <v>90</v>
      </c>
      <c r="C382" s="3" t="s">
        <v>65</v>
      </c>
      <c r="D382" s="3" t="s">
        <v>27</v>
      </c>
      <c r="E382" s="3" t="s">
        <v>16</v>
      </c>
      <c r="F382" s="3" t="s">
        <v>29</v>
      </c>
      <c r="G382" s="3" t="s">
        <v>21</v>
      </c>
      <c r="H382" s="2" t="n">
        <v>10</v>
      </c>
      <c r="I382" s="2" t="n">
        <v>1</v>
      </c>
      <c r="J382" s="4" t="n">
        <v>1685.32</v>
      </c>
      <c r="K382" s="4" t="n">
        <v>314.4</v>
      </c>
      <c r="L382" s="5" t="n">
        <f aca="false">IF(H382=0,0,I382/H382)</f>
        <v>0.1</v>
      </c>
      <c r="M382" s="6" t="n">
        <f aca="false">IF(I382=0,0,J382/I382)</f>
        <v>1685.32</v>
      </c>
    </row>
    <row r="383" customFormat="false" ht="15" hidden="false" customHeight="false" outlineLevel="0" collapsed="false">
      <c r="A383" s="2" t="n">
        <v>382</v>
      </c>
      <c r="B383" s="3" t="s">
        <v>90</v>
      </c>
      <c r="C383" s="3" t="s">
        <v>65</v>
      </c>
      <c r="D383" s="3" t="s">
        <v>24</v>
      </c>
      <c r="E383" s="3" t="s">
        <v>16</v>
      </c>
      <c r="F383" s="3" t="s">
        <v>23</v>
      </c>
      <c r="G383" s="3" t="s">
        <v>30</v>
      </c>
      <c r="H383" s="2" t="n">
        <v>5</v>
      </c>
      <c r="I383" s="2" t="n">
        <v>1</v>
      </c>
      <c r="J383" s="4" t="n">
        <v>246.68</v>
      </c>
      <c r="K383" s="4" t="n">
        <v>60.57</v>
      </c>
      <c r="L383" s="5" t="n">
        <f aca="false">IF(H383=0,0,I383/H383)</f>
        <v>0.2</v>
      </c>
      <c r="M383" s="6" t="n">
        <f aca="false">IF(I383=0,0,J383/I383)</f>
        <v>246.68</v>
      </c>
    </row>
    <row r="384" customFormat="false" ht="15" hidden="false" customHeight="false" outlineLevel="0" collapsed="false">
      <c r="A384" s="2" t="n">
        <v>383</v>
      </c>
      <c r="B384" s="3" t="s">
        <v>90</v>
      </c>
      <c r="C384" s="3" t="s">
        <v>65</v>
      </c>
      <c r="D384" s="3" t="s">
        <v>22</v>
      </c>
      <c r="E384" s="3" t="s">
        <v>28</v>
      </c>
      <c r="F384" s="3" t="s">
        <v>23</v>
      </c>
      <c r="G384" s="3" t="s">
        <v>21</v>
      </c>
      <c r="H384" s="2" t="n">
        <v>3</v>
      </c>
      <c r="I384" s="2" t="n">
        <v>0</v>
      </c>
      <c r="J384" s="4" t="n">
        <v>0</v>
      </c>
      <c r="K384" s="4" t="n">
        <v>0</v>
      </c>
      <c r="L384" s="5" t="n">
        <f aca="false">IF(H384=0,0,I384/H384)</f>
        <v>0</v>
      </c>
      <c r="M384" s="6" t="n">
        <f aca="false">IF(I384=0,0,J384/I384)</f>
        <v>0</v>
      </c>
    </row>
    <row r="385" customFormat="false" ht="15" hidden="false" customHeight="false" outlineLevel="0" collapsed="false">
      <c r="A385" s="2" t="n">
        <v>384</v>
      </c>
      <c r="B385" s="3" t="s">
        <v>90</v>
      </c>
      <c r="C385" s="3" t="s">
        <v>65</v>
      </c>
      <c r="D385" s="3" t="s">
        <v>27</v>
      </c>
      <c r="E385" s="3" t="s">
        <v>28</v>
      </c>
      <c r="F385" s="3" t="s">
        <v>20</v>
      </c>
      <c r="G385" s="3" t="s">
        <v>34</v>
      </c>
      <c r="H385" s="2" t="n">
        <v>8</v>
      </c>
      <c r="I385" s="2" t="n">
        <v>2</v>
      </c>
      <c r="J385" s="4" t="n">
        <v>2473.12</v>
      </c>
      <c r="K385" s="4" t="n">
        <v>414.3</v>
      </c>
      <c r="L385" s="5" t="n">
        <f aca="false">IF(H385=0,0,I385/H385)</f>
        <v>0.25</v>
      </c>
      <c r="M385" s="6" t="n">
        <f aca="false">IF(I385=0,0,J385/I385)</f>
        <v>1236.56</v>
      </c>
    </row>
    <row r="386" customFormat="false" ht="15" hidden="false" customHeight="false" outlineLevel="0" collapsed="false">
      <c r="A386" s="2" t="n">
        <v>385</v>
      </c>
      <c r="B386" s="3" t="s">
        <v>90</v>
      </c>
      <c r="C386" s="3" t="s">
        <v>65</v>
      </c>
      <c r="D386" s="3" t="s">
        <v>27</v>
      </c>
      <c r="E386" s="3" t="s">
        <v>16</v>
      </c>
      <c r="F386" s="3" t="s">
        <v>29</v>
      </c>
      <c r="G386" s="3" t="s">
        <v>30</v>
      </c>
      <c r="H386" s="2" t="n">
        <v>7</v>
      </c>
      <c r="I386" s="2" t="n">
        <v>0</v>
      </c>
      <c r="J386" s="4" t="n">
        <v>0</v>
      </c>
      <c r="K386" s="4" t="n">
        <v>0</v>
      </c>
      <c r="L386" s="5" t="n">
        <f aca="false">IF(H386=0,0,I386/H386)</f>
        <v>0</v>
      </c>
      <c r="M386" s="6" t="n">
        <f aca="false">IF(I386=0,0,J386/I386)</f>
        <v>0</v>
      </c>
    </row>
    <row r="387" customFormat="false" ht="15" hidden="false" customHeight="false" outlineLevel="0" collapsed="false">
      <c r="A387" s="2" t="n">
        <v>386</v>
      </c>
      <c r="B387" s="3" t="s">
        <v>90</v>
      </c>
      <c r="C387" s="3" t="s">
        <v>65</v>
      </c>
      <c r="D387" s="3" t="s">
        <v>27</v>
      </c>
      <c r="E387" s="3" t="s">
        <v>25</v>
      </c>
      <c r="F387" s="3" t="s">
        <v>23</v>
      </c>
      <c r="G387" s="3" t="s">
        <v>30</v>
      </c>
      <c r="H387" s="2" t="n">
        <v>5</v>
      </c>
      <c r="I387" s="2" t="n">
        <v>0</v>
      </c>
      <c r="J387" s="4" t="n">
        <v>0</v>
      </c>
      <c r="K387" s="4" t="n">
        <v>0</v>
      </c>
      <c r="L387" s="5" t="n">
        <f aca="false">IF(H387=0,0,I387/H387)</f>
        <v>0</v>
      </c>
      <c r="M387" s="6" t="n">
        <f aca="false">IF(I387=0,0,J387/I387)</f>
        <v>0</v>
      </c>
    </row>
    <row r="388" customFormat="false" ht="15" hidden="false" customHeight="false" outlineLevel="0" collapsed="false">
      <c r="A388" s="2" t="n">
        <v>387</v>
      </c>
      <c r="B388" s="3" t="s">
        <v>90</v>
      </c>
      <c r="C388" s="3" t="s">
        <v>65</v>
      </c>
      <c r="D388" s="3" t="s">
        <v>15</v>
      </c>
      <c r="E388" s="3" t="s">
        <v>33</v>
      </c>
      <c r="F388" s="3" t="s">
        <v>23</v>
      </c>
      <c r="G388" s="3" t="s">
        <v>30</v>
      </c>
      <c r="H388" s="2" t="n">
        <v>6</v>
      </c>
      <c r="I388" s="2" t="n">
        <v>2</v>
      </c>
      <c r="J388" s="4" t="n">
        <v>402.06</v>
      </c>
      <c r="K388" s="4" t="n">
        <v>118.43</v>
      </c>
      <c r="L388" s="5" t="n">
        <f aca="false">IF(H388=0,0,I388/H388)</f>
        <v>0.333333333333333</v>
      </c>
      <c r="M388" s="6" t="n">
        <f aca="false">IF(I388=0,0,J388/I388)</f>
        <v>201.03</v>
      </c>
    </row>
    <row r="389" customFormat="false" ht="15" hidden="false" customHeight="false" outlineLevel="0" collapsed="false">
      <c r="A389" s="2" t="n">
        <v>388</v>
      </c>
      <c r="B389" s="3" t="s">
        <v>90</v>
      </c>
      <c r="C389" s="3" t="s">
        <v>65</v>
      </c>
      <c r="D389" s="3" t="s">
        <v>22</v>
      </c>
      <c r="E389" s="3" t="s">
        <v>25</v>
      </c>
      <c r="F389" s="3" t="s">
        <v>23</v>
      </c>
      <c r="G389" s="3" t="s">
        <v>30</v>
      </c>
      <c r="H389" s="2" t="n">
        <v>11</v>
      </c>
      <c r="I389" s="2" t="n">
        <v>2</v>
      </c>
      <c r="J389" s="4" t="n">
        <v>274.91</v>
      </c>
      <c r="K389" s="4" t="n">
        <v>111.53</v>
      </c>
      <c r="L389" s="5" t="n">
        <f aca="false">IF(H389=0,0,I389/H389)</f>
        <v>0.181818181818182</v>
      </c>
      <c r="M389" s="6" t="n">
        <f aca="false">IF(I389=0,0,J389/I389)</f>
        <v>137.455</v>
      </c>
    </row>
    <row r="390" customFormat="false" ht="15" hidden="false" customHeight="false" outlineLevel="0" collapsed="false">
      <c r="A390" s="2" t="n">
        <v>389</v>
      </c>
      <c r="B390" s="3" t="s">
        <v>90</v>
      </c>
      <c r="C390" s="3" t="s">
        <v>65</v>
      </c>
      <c r="D390" s="3" t="s">
        <v>19</v>
      </c>
      <c r="E390" s="3" t="s">
        <v>16</v>
      </c>
      <c r="F390" s="3" t="s">
        <v>23</v>
      </c>
      <c r="G390" s="3" t="s">
        <v>26</v>
      </c>
      <c r="H390" s="2" t="n">
        <v>8</v>
      </c>
      <c r="I390" s="2" t="n">
        <v>1</v>
      </c>
      <c r="J390" s="4" t="n">
        <v>1014.82</v>
      </c>
      <c r="K390" s="4" t="n">
        <v>142.6</v>
      </c>
      <c r="L390" s="5" t="n">
        <f aca="false">IF(H390=0,0,I390/H390)</f>
        <v>0.125</v>
      </c>
      <c r="M390" s="6" t="n">
        <f aca="false">IF(I390=0,0,J390/I390)</f>
        <v>1014.82</v>
      </c>
    </row>
    <row r="391" customFormat="false" ht="15" hidden="false" customHeight="false" outlineLevel="0" collapsed="false">
      <c r="A391" s="2" t="n">
        <v>390</v>
      </c>
      <c r="B391" s="3" t="s">
        <v>90</v>
      </c>
      <c r="C391" s="3" t="s">
        <v>65</v>
      </c>
      <c r="D391" s="3" t="s">
        <v>19</v>
      </c>
      <c r="E391" s="3" t="s">
        <v>16</v>
      </c>
      <c r="F391" s="3" t="s">
        <v>20</v>
      </c>
      <c r="G391" s="3" t="s">
        <v>18</v>
      </c>
      <c r="H391" s="2" t="n">
        <v>4</v>
      </c>
      <c r="I391" s="2" t="n">
        <v>1</v>
      </c>
      <c r="J391" s="4" t="n">
        <v>730.85</v>
      </c>
      <c r="K391" s="4" t="n">
        <v>100.21</v>
      </c>
      <c r="L391" s="5" t="n">
        <f aca="false">IF(H391=0,0,I391/H391)</f>
        <v>0.25</v>
      </c>
      <c r="M391" s="6" t="n">
        <f aca="false">IF(I391=0,0,J391/I391)</f>
        <v>730.85</v>
      </c>
    </row>
    <row r="392" customFormat="false" ht="15" hidden="false" customHeight="false" outlineLevel="0" collapsed="false">
      <c r="A392" s="2" t="n">
        <v>391</v>
      </c>
      <c r="B392" s="3" t="s">
        <v>90</v>
      </c>
      <c r="C392" s="3" t="s">
        <v>65</v>
      </c>
      <c r="D392" s="3" t="s">
        <v>24</v>
      </c>
      <c r="E392" s="3" t="s">
        <v>33</v>
      </c>
      <c r="F392" s="3" t="s">
        <v>23</v>
      </c>
      <c r="G392" s="3" t="s">
        <v>31</v>
      </c>
      <c r="H392" s="2" t="n">
        <v>9</v>
      </c>
      <c r="I392" s="2" t="n">
        <v>4</v>
      </c>
      <c r="J392" s="4" t="n">
        <v>1423.88</v>
      </c>
      <c r="K392" s="4" t="n">
        <v>331.44</v>
      </c>
      <c r="L392" s="5" t="n">
        <f aca="false">IF(H392=0,0,I392/H392)</f>
        <v>0.444444444444444</v>
      </c>
      <c r="M392" s="6" t="n">
        <f aca="false">IF(I392=0,0,J392/I392)</f>
        <v>355.97</v>
      </c>
    </row>
    <row r="393" customFormat="false" ht="15" hidden="false" customHeight="false" outlineLevel="0" collapsed="false">
      <c r="A393" s="2" t="n">
        <v>392</v>
      </c>
      <c r="B393" s="3" t="s">
        <v>90</v>
      </c>
      <c r="C393" s="3" t="s">
        <v>65</v>
      </c>
      <c r="D393" s="3" t="s">
        <v>22</v>
      </c>
      <c r="E393" s="3" t="s">
        <v>25</v>
      </c>
      <c r="F393" s="3" t="s">
        <v>23</v>
      </c>
      <c r="G393" s="3" t="s">
        <v>21</v>
      </c>
      <c r="H393" s="2" t="n">
        <v>12</v>
      </c>
      <c r="I393" s="2" t="n">
        <v>2</v>
      </c>
      <c r="J393" s="4" t="n">
        <v>211.6</v>
      </c>
      <c r="K393" s="4" t="n">
        <v>87.71</v>
      </c>
      <c r="L393" s="5" t="n">
        <f aca="false">IF(H393=0,0,I393/H393)</f>
        <v>0.166666666666667</v>
      </c>
      <c r="M393" s="6" t="n">
        <f aca="false">IF(I393=0,0,J393/I393)</f>
        <v>105.8</v>
      </c>
    </row>
    <row r="394" customFormat="false" ht="15" hidden="false" customHeight="false" outlineLevel="0" collapsed="false">
      <c r="A394" s="2" t="n">
        <v>393</v>
      </c>
      <c r="B394" s="3" t="s">
        <v>91</v>
      </c>
      <c r="C394" s="3" t="s">
        <v>65</v>
      </c>
      <c r="D394" s="3" t="s">
        <v>22</v>
      </c>
      <c r="E394" s="3" t="s">
        <v>33</v>
      </c>
      <c r="F394" s="3" t="s">
        <v>23</v>
      </c>
      <c r="G394" s="3" t="s">
        <v>30</v>
      </c>
      <c r="H394" s="2" t="n">
        <v>8</v>
      </c>
      <c r="I394" s="2" t="n">
        <v>1</v>
      </c>
      <c r="J394" s="4" t="n">
        <v>147.8</v>
      </c>
      <c r="K394" s="4" t="n">
        <v>64.58</v>
      </c>
      <c r="L394" s="5" t="n">
        <f aca="false">IF(H394=0,0,I394/H394)</f>
        <v>0.125</v>
      </c>
      <c r="M394" s="6" t="n">
        <f aca="false">IF(I394=0,0,J394/I394)</f>
        <v>147.8</v>
      </c>
    </row>
    <row r="395" customFormat="false" ht="15" hidden="false" customHeight="false" outlineLevel="0" collapsed="false">
      <c r="A395" s="2" t="n">
        <v>394</v>
      </c>
      <c r="B395" s="3" t="s">
        <v>91</v>
      </c>
      <c r="C395" s="3" t="s">
        <v>65</v>
      </c>
      <c r="D395" s="3" t="s">
        <v>19</v>
      </c>
      <c r="E395" s="3" t="s">
        <v>25</v>
      </c>
      <c r="F395" s="3" t="s">
        <v>20</v>
      </c>
      <c r="G395" s="3" t="s">
        <v>30</v>
      </c>
      <c r="H395" s="2" t="n">
        <v>7</v>
      </c>
      <c r="I395" s="2" t="n">
        <v>2</v>
      </c>
      <c r="J395" s="4" t="n">
        <v>1893.84</v>
      </c>
      <c r="K395" s="4" t="n">
        <v>259.01</v>
      </c>
      <c r="L395" s="5" t="n">
        <f aca="false">IF(H395=0,0,I395/H395)</f>
        <v>0.285714285714286</v>
      </c>
      <c r="M395" s="6" t="n">
        <f aca="false">IF(I395=0,0,J395/I395)</f>
        <v>946.92</v>
      </c>
    </row>
    <row r="396" customFormat="false" ht="15" hidden="false" customHeight="false" outlineLevel="0" collapsed="false">
      <c r="A396" s="2" t="n">
        <v>395</v>
      </c>
      <c r="B396" s="3" t="s">
        <v>91</v>
      </c>
      <c r="C396" s="3" t="s">
        <v>65</v>
      </c>
      <c r="D396" s="3" t="s">
        <v>15</v>
      </c>
      <c r="E396" s="3" t="s">
        <v>16</v>
      </c>
      <c r="F396" s="3" t="s">
        <v>20</v>
      </c>
      <c r="G396" s="3" t="s">
        <v>18</v>
      </c>
      <c r="H396" s="2" t="n">
        <v>7</v>
      </c>
      <c r="I396" s="2" t="n">
        <v>1</v>
      </c>
      <c r="J396" s="4" t="n">
        <v>165.31</v>
      </c>
      <c r="K396" s="4" t="n">
        <v>46.66</v>
      </c>
      <c r="L396" s="5" t="n">
        <f aca="false">IF(H396=0,0,I396/H396)</f>
        <v>0.142857142857143</v>
      </c>
      <c r="M396" s="6" t="n">
        <f aca="false">IF(I396=0,0,J396/I396)</f>
        <v>165.31</v>
      </c>
    </row>
    <row r="397" customFormat="false" ht="15" hidden="false" customHeight="false" outlineLevel="0" collapsed="false">
      <c r="A397" s="2" t="n">
        <v>396</v>
      </c>
      <c r="B397" s="3" t="s">
        <v>91</v>
      </c>
      <c r="C397" s="3" t="s">
        <v>65</v>
      </c>
      <c r="D397" s="3" t="s">
        <v>19</v>
      </c>
      <c r="E397" s="3" t="s">
        <v>16</v>
      </c>
      <c r="F397" s="3" t="s">
        <v>29</v>
      </c>
      <c r="G397" s="3" t="s">
        <v>31</v>
      </c>
      <c r="H397" s="2" t="n">
        <v>6</v>
      </c>
      <c r="I397" s="2" t="n">
        <v>1</v>
      </c>
      <c r="J397" s="4" t="n">
        <v>1038.5</v>
      </c>
      <c r="K397" s="4" t="n">
        <v>144.79</v>
      </c>
      <c r="L397" s="5" t="n">
        <f aca="false">IF(H397=0,0,I397/H397)</f>
        <v>0.166666666666667</v>
      </c>
      <c r="M397" s="6" t="n">
        <f aca="false">IF(I397=0,0,J397/I397)</f>
        <v>1038.5</v>
      </c>
    </row>
    <row r="398" customFormat="false" ht="15" hidden="false" customHeight="false" outlineLevel="0" collapsed="false">
      <c r="A398" s="2" t="n">
        <v>397</v>
      </c>
      <c r="B398" s="3" t="s">
        <v>91</v>
      </c>
      <c r="C398" s="3" t="s">
        <v>65</v>
      </c>
      <c r="D398" s="3" t="s">
        <v>19</v>
      </c>
      <c r="E398" s="3" t="s">
        <v>16</v>
      </c>
      <c r="F398" s="3" t="s">
        <v>23</v>
      </c>
      <c r="G398" s="3" t="s">
        <v>18</v>
      </c>
      <c r="H398" s="2" t="n">
        <v>11</v>
      </c>
      <c r="I398" s="2" t="n">
        <v>3</v>
      </c>
      <c r="J398" s="4" t="n">
        <v>3314.65</v>
      </c>
      <c r="K398" s="4" t="n">
        <v>480.75</v>
      </c>
      <c r="L398" s="5" t="n">
        <f aca="false">IF(H398=0,0,I398/H398)</f>
        <v>0.272727272727273</v>
      </c>
      <c r="M398" s="6" t="n">
        <f aca="false">IF(I398=0,0,J398/I398)</f>
        <v>1104.88333333333</v>
      </c>
    </row>
    <row r="399" customFormat="false" ht="15" hidden="false" customHeight="false" outlineLevel="0" collapsed="false">
      <c r="A399" s="2" t="n">
        <v>398</v>
      </c>
      <c r="B399" s="3" t="s">
        <v>91</v>
      </c>
      <c r="C399" s="3" t="s">
        <v>65</v>
      </c>
      <c r="D399" s="3" t="s">
        <v>19</v>
      </c>
      <c r="E399" s="3" t="s">
        <v>25</v>
      </c>
      <c r="F399" s="3" t="s">
        <v>20</v>
      </c>
      <c r="G399" s="3" t="s">
        <v>18</v>
      </c>
      <c r="H399" s="2" t="n">
        <v>7</v>
      </c>
      <c r="I399" s="2" t="n">
        <v>2</v>
      </c>
      <c r="J399" s="4" t="n">
        <v>2121.88</v>
      </c>
      <c r="K399" s="4" t="n">
        <v>319.64</v>
      </c>
      <c r="L399" s="5" t="n">
        <f aca="false">IF(H399=0,0,I399/H399)</f>
        <v>0.285714285714286</v>
      </c>
      <c r="M399" s="6" t="n">
        <f aca="false">IF(I399=0,0,J399/I399)</f>
        <v>1060.94</v>
      </c>
    </row>
    <row r="400" customFormat="false" ht="15" hidden="false" customHeight="false" outlineLevel="0" collapsed="false">
      <c r="A400" s="2" t="n">
        <v>399</v>
      </c>
      <c r="B400" s="3" t="s">
        <v>91</v>
      </c>
      <c r="C400" s="3" t="s">
        <v>65</v>
      </c>
      <c r="D400" s="3" t="s">
        <v>19</v>
      </c>
      <c r="E400" s="3" t="s">
        <v>28</v>
      </c>
      <c r="F400" s="3" t="s">
        <v>23</v>
      </c>
      <c r="G400" s="3" t="s">
        <v>31</v>
      </c>
      <c r="H400" s="2" t="n">
        <v>7</v>
      </c>
      <c r="I400" s="2" t="n">
        <v>1</v>
      </c>
      <c r="J400" s="4" t="n">
        <v>862.79</v>
      </c>
      <c r="K400" s="4" t="n">
        <v>120.85</v>
      </c>
      <c r="L400" s="5" t="n">
        <f aca="false">IF(H400=0,0,I400/H400)</f>
        <v>0.142857142857143</v>
      </c>
      <c r="M400" s="6" t="n">
        <f aca="false">IF(I400=0,0,J400/I400)</f>
        <v>862.79</v>
      </c>
    </row>
    <row r="401" customFormat="false" ht="15" hidden="false" customHeight="false" outlineLevel="0" collapsed="false">
      <c r="A401" s="2" t="n">
        <v>400</v>
      </c>
      <c r="B401" s="3" t="s">
        <v>91</v>
      </c>
      <c r="C401" s="3" t="s">
        <v>65</v>
      </c>
      <c r="D401" s="3" t="s">
        <v>22</v>
      </c>
      <c r="E401" s="3" t="s">
        <v>33</v>
      </c>
      <c r="F401" s="3" t="s">
        <v>17</v>
      </c>
      <c r="G401" s="3" t="s">
        <v>34</v>
      </c>
      <c r="H401" s="2" t="n">
        <v>5</v>
      </c>
      <c r="I401" s="2" t="n">
        <v>2</v>
      </c>
      <c r="J401" s="4" t="n">
        <v>214.29</v>
      </c>
      <c r="K401" s="4" t="n">
        <v>86.47</v>
      </c>
      <c r="L401" s="5" t="n">
        <f aca="false">IF(H401=0,0,I401/H401)</f>
        <v>0.4</v>
      </c>
      <c r="M401" s="6" t="n">
        <f aca="false">IF(I401=0,0,J401/I401)</f>
        <v>107.145</v>
      </c>
    </row>
    <row r="402" customFormat="false" ht="15" hidden="false" customHeight="false" outlineLevel="0" collapsed="false">
      <c r="A402" s="2" t="n">
        <v>401</v>
      </c>
      <c r="B402" s="3" t="s">
        <v>91</v>
      </c>
      <c r="C402" s="3" t="s">
        <v>65</v>
      </c>
      <c r="D402" s="3" t="s">
        <v>27</v>
      </c>
      <c r="E402" s="3" t="s">
        <v>16</v>
      </c>
      <c r="F402" s="3" t="s">
        <v>23</v>
      </c>
      <c r="G402" s="3" t="s">
        <v>21</v>
      </c>
      <c r="H402" s="2" t="n">
        <v>7</v>
      </c>
      <c r="I402" s="2" t="n">
        <v>0</v>
      </c>
      <c r="J402" s="4" t="n">
        <v>0</v>
      </c>
      <c r="K402" s="4" t="n">
        <v>0</v>
      </c>
      <c r="L402" s="5" t="n">
        <f aca="false">IF(H402=0,0,I402/H402)</f>
        <v>0</v>
      </c>
      <c r="M402" s="6" t="n">
        <f aca="false">IF(I402=0,0,J402/I402)</f>
        <v>0</v>
      </c>
    </row>
    <row r="403" customFormat="false" ht="15" hidden="false" customHeight="false" outlineLevel="0" collapsed="false">
      <c r="A403" s="2" t="n">
        <v>402</v>
      </c>
      <c r="B403" s="3" t="s">
        <v>92</v>
      </c>
      <c r="C403" s="3" t="s">
        <v>65</v>
      </c>
      <c r="D403" s="3" t="s">
        <v>15</v>
      </c>
      <c r="E403" s="3" t="s">
        <v>25</v>
      </c>
      <c r="F403" s="3" t="s">
        <v>23</v>
      </c>
      <c r="G403" s="3" t="s">
        <v>18</v>
      </c>
      <c r="H403" s="2" t="n">
        <v>10</v>
      </c>
      <c r="I403" s="2" t="n">
        <v>4</v>
      </c>
      <c r="J403" s="4" t="n">
        <v>691.19</v>
      </c>
      <c r="K403" s="4" t="n">
        <v>219.07</v>
      </c>
      <c r="L403" s="5" t="n">
        <f aca="false">IF(H403=0,0,I403/H403)</f>
        <v>0.4</v>
      </c>
      <c r="M403" s="6" t="n">
        <f aca="false">IF(I403=0,0,J403/I403)</f>
        <v>172.7975</v>
      </c>
    </row>
    <row r="404" customFormat="false" ht="15" hidden="false" customHeight="false" outlineLevel="0" collapsed="false">
      <c r="A404" s="2" t="n">
        <v>403</v>
      </c>
      <c r="B404" s="3" t="s">
        <v>93</v>
      </c>
      <c r="C404" s="3" t="s">
        <v>94</v>
      </c>
      <c r="D404" s="3" t="s">
        <v>19</v>
      </c>
      <c r="E404" s="3" t="s">
        <v>33</v>
      </c>
      <c r="F404" s="3" t="s">
        <v>23</v>
      </c>
      <c r="G404" s="3" t="s">
        <v>18</v>
      </c>
      <c r="H404" s="2" t="n">
        <v>4</v>
      </c>
      <c r="I404" s="2" t="n">
        <v>1</v>
      </c>
      <c r="J404" s="4" t="n">
        <v>847.34</v>
      </c>
      <c r="K404" s="4" t="n">
        <v>120.51</v>
      </c>
      <c r="L404" s="5" t="n">
        <f aca="false">IF(H404=0,0,I404/H404)</f>
        <v>0.25</v>
      </c>
      <c r="M404" s="6" t="n">
        <f aca="false">IF(I404=0,0,J404/I404)</f>
        <v>847.34</v>
      </c>
    </row>
    <row r="405" customFormat="false" ht="15" hidden="false" customHeight="false" outlineLevel="0" collapsed="false">
      <c r="A405" s="2" t="n">
        <v>404</v>
      </c>
      <c r="B405" s="3" t="s">
        <v>93</v>
      </c>
      <c r="C405" s="3" t="s">
        <v>94</v>
      </c>
      <c r="D405" s="3" t="s">
        <v>19</v>
      </c>
      <c r="E405" s="3" t="s">
        <v>16</v>
      </c>
      <c r="F405" s="3" t="s">
        <v>17</v>
      </c>
      <c r="G405" s="3" t="s">
        <v>34</v>
      </c>
      <c r="H405" s="2" t="n">
        <v>9</v>
      </c>
      <c r="I405" s="2" t="n">
        <v>1</v>
      </c>
      <c r="J405" s="4" t="n">
        <v>731.3</v>
      </c>
      <c r="K405" s="4" t="n">
        <v>105.91</v>
      </c>
      <c r="L405" s="5" t="n">
        <f aca="false">IF(H405=0,0,I405/H405)</f>
        <v>0.111111111111111</v>
      </c>
      <c r="M405" s="6" t="n">
        <f aca="false">IF(I405=0,0,J405/I405)</f>
        <v>731.3</v>
      </c>
    </row>
    <row r="406" customFormat="false" ht="15" hidden="false" customHeight="false" outlineLevel="0" collapsed="false">
      <c r="A406" s="2" t="n">
        <v>405</v>
      </c>
      <c r="B406" s="3" t="s">
        <v>93</v>
      </c>
      <c r="C406" s="3" t="s">
        <v>94</v>
      </c>
      <c r="D406" s="3" t="s">
        <v>22</v>
      </c>
      <c r="E406" s="3" t="s">
        <v>16</v>
      </c>
      <c r="F406" s="3" t="s">
        <v>23</v>
      </c>
      <c r="G406" s="3" t="s">
        <v>31</v>
      </c>
      <c r="H406" s="2" t="n">
        <v>6</v>
      </c>
      <c r="I406" s="2" t="n">
        <v>2</v>
      </c>
      <c r="J406" s="4" t="n">
        <v>215.06</v>
      </c>
      <c r="K406" s="4" t="n">
        <v>94.19</v>
      </c>
      <c r="L406" s="5" t="n">
        <f aca="false">IF(H406=0,0,I406/H406)</f>
        <v>0.333333333333333</v>
      </c>
      <c r="M406" s="6" t="n">
        <f aca="false">IF(I406=0,0,J406/I406)</f>
        <v>107.53</v>
      </c>
    </row>
    <row r="407" customFormat="false" ht="15" hidden="false" customHeight="false" outlineLevel="0" collapsed="false">
      <c r="A407" s="2" t="n">
        <v>406</v>
      </c>
      <c r="B407" s="3" t="s">
        <v>93</v>
      </c>
      <c r="C407" s="3" t="s">
        <v>94</v>
      </c>
      <c r="D407" s="3" t="s">
        <v>19</v>
      </c>
      <c r="E407" s="3" t="s">
        <v>16</v>
      </c>
      <c r="F407" s="3" t="s">
        <v>23</v>
      </c>
      <c r="G407" s="3" t="s">
        <v>21</v>
      </c>
      <c r="H407" s="2" t="n">
        <v>10</v>
      </c>
      <c r="I407" s="2" t="n">
        <v>0</v>
      </c>
      <c r="J407" s="4" t="n">
        <v>0</v>
      </c>
      <c r="K407" s="4" t="n">
        <v>0</v>
      </c>
      <c r="L407" s="5" t="n">
        <f aca="false">IF(H407=0,0,I407/H407)</f>
        <v>0</v>
      </c>
      <c r="M407" s="6" t="n">
        <f aca="false">IF(I407=0,0,J407/I407)</f>
        <v>0</v>
      </c>
    </row>
    <row r="408" customFormat="false" ht="15" hidden="false" customHeight="false" outlineLevel="0" collapsed="false">
      <c r="A408" s="2" t="n">
        <v>407</v>
      </c>
      <c r="B408" s="3" t="s">
        <v>95</v>
      </c>
      <c r="C408" s="3" t="s">
        <v>94</v>
      </c>
      <c r="D408" s="3" t="s">
        <v>27</v>
      </c>
      <c r="E408" s="3" t="s">
        <v>25</v>
      </c>
      <c r="F408" s="3" t="s">
        <v>23</v>
      </c>
      <c r="G408" s="3" t="s">
        <v>18</v>
      </c>
      <c r="H408" s="2" t="n">
        <v>7</v>
      </c>
      <c r="I408" s="2" t="n">
        <v>0</v>
      </c>
      <c r="J408" s="4" t="n">
        <v>0</v>
      </c>
      <c r="K408" s="4" t="n">
        <v>0</v>
      </c>
      <c r="L408" s="5" t="n">
        <f aca="false">IF(H408=0,0,I408/H408)</f>
        <v>0</v>
      </c>
      <c r="M408" s="6" t="n">
        <f aca="false">IF(I408=0,0,J408/I408)</f>
        <v>0</v>
      </c>
    </row>
    <row r="409" customFormat="false" ht="15" hidden="false" customHeight="false" outlineLevel="0" collapsed="false">
      <c r="A409" s="2" t="n">
        <v>408</v>
      </c>
      <c r="B409" s="3" t="s">
        <v>95</v>
      </c>
      <c r="C409" s="3" t="s">
        <v>94</v>
      </c>
      <c r="D409" s="3" t="s">
        <v>24</v>
      </c>
      <c r="E409" s="3" t="s">
        <v>25</v>
      </c>
      <c r="F409" s="3" t="s">
        <v>23</v>
      </c>
      <c r="G409" s="3" t="s">
        <v>31</v>
      </c>
      <c r="H409" s="2" t="n">
        <v>3</v>
      </c>
      <c r="I409" s="2" t="n">
        <v>1</v>
      </c>
      <c r="J409" s="4" t="n">
        <v>268.94</v>
      </c>
      <c r="K409" s="4" t="n">
        <v>70</v>
      </c>
      <c r="L409" s="5" t="n">
        <f aca="false">IF(H409=0,0,I409/H409)</f>
        <v>0.333333333333333</v>
      </c>
      <c r="M409" s="6" t="n">
        <f aca="false">IF(I409=0,0,J409/I409)</f>
        <v>268.94</v>
      </c>
    </row>
    <row r="410" customFormat="false" ht="15" hidden="false" customHeight="false" outlineLevel="0" collapsed="false">
      <c r="A410" s="2" t="n">
        <v>409</v>
      </c>
      <c r="B410" s="3" t="s">
        <v>95</v>
      </c>
      <c r="C410" s="3" t="s">
        <v>94</v>
      </c>
      <c r="D410" s="3" t="s">
        <v>22</v>
      </c>
      <c r="E410" s="3" t="s">
        <v>25</v>
      </c>
      <c r="F410" s="3" t="s">
        <v>20</v>
      </c>
      <c r="G410" s="3" t="s">
        <v>18</v>
      </c>
      <c r="H410" s="2" t="n">
        <v>8</v>
      </c>
      <c r="I410" s="2" t="n">
        <v>2</v>
      </c>
      <c r="J410" s="4" t="n">
        <v>297.16</v>
      </c>
      <c r="K410" s="4" t="n">
        <v>127.63</v>
      </c>
      <c r="L410" s="5" t="n">
        <f aca="false">IF(H410=0,0,I410/H410)</f>
        <v>0.25</v>
      </c>
      <c r="M410" s="6" t="n">
        <f aca="false">IF(I410=0,0,J410/I410)</f>
        <v>148.58</v>
      </c>
    </row>
    <row r="411" customFormat="false" ht="15" hidden="false" customHeight="false" outlineLevel="0" collapsed="false">
      <c r="A411" s="2" t="n">
        <v>410</v>
      </c>
      <c r="B411" s="3" t="s">
        <v>95</v>
      </c>
      <c r="C411" s="3" t="s">
        <v>94</v>
      </c>
      <c r="D411" s="3" t="s">
        <v>22</v>
      </c>
      <c r="E411" s="3" t="s">
        <v>16</v>
      </c>
      <c r="F411" s="3" t="s">
        <v>23</v>
      </c>
      <c r="G411" s="3" t="s">
        <v>34</v>
      </c>
      <c r="H411" s="2" t="n">
        <v>8</v>
      </c>
      <c r="I411" s="2" t="n">
        <v>1</v>
      </c>
      <c r="J411" s="4" t="n">
        <v>129.71</v>
      </c>
      <c r="K411" s="4" t="n">
        <v>50.65</v>
      </c>
      <c r="L411" s="5" t="n">
        <f aca="false">IF(H411=0,0,I411/H411)</f>
        <v>0.125</v>
      </c>
      <c r="M411" s="6" t="n">
        <f aca="false">IF(I411=0,0,J411/I411)</f>
        <v>129.71</v>
      </c>
    </row>
    <row r="412" customFormat="false" ht="15" hidden="false" customHeight="false" outlineLevel="0" collapsed="false">
      <c r="A412" s="2" t="n">
        <v>411</v>
      </c>
      <c r="B412" s="3" t="s">
        <v>95</v>
      </c>
      <c r="C412" s="3" t="s">
        <v>94</v>
      </c>
      <c r="D412" s="3" t="s">
        <v>22</v>
      </c>
      <c r="E412" s="3" t="s">
        <v>25</v>
      </c>
      <c r="F412" s="3" t="s">
        <v>23</v>
      </c>
      <c r="G412" s="3" t="s">
        <v>30</v>
      </c>
      <c r="H412" s="2" t="n">
        <v>7</v>
      </c>
      <c r="I412" s="2" t="n">
        <v>2</v>
      </c>
      <c r="J412" s="4" t="n">
        <v>242.13</v>
      </c>
      <c r="K412" s="4" t="n">
        <v>96.12</v>
      </c>
      <c r="L412" s="5" t="n">
        <f aca="false">IF(H412=0,0,I412/H412)</f>
        <v>0.285714285714286</v>
      </c>
      <c r="M412" s="6" t="n">
        <f aca="false">IF(I412=0,0,J412/I412)</f>
        <v>121.065</v>
      </c>
    </row>
    <row r="413" customFormat="false" ht="15" hidden="false" customHeight="false" outlineLevel="0" collapsed="false">
      <c r="A413" s="2" t="n">
        <v>412</v>
      </c>
      <c r="B413" s="3" t="s">
        <v>95</v>
      </c>
      <c r="C413" s="3" t="s">
        <v>94</v>
      </c>
      <c r="D413" s="3" t="s">
        <v>19</v>
      </c>
      <c r="E413" s="3" t="s">
        <v>28</v>
      </c>
      <c r="F413" s="3" t="s">
        <v>23</v>
      </c>
      <c r="G413" s="3" t="s">
        <v>30</v>
      </c>
      <c r="H413" s="2" t="n">
        <v>9</v>
      </c>
      <c r="I413" s="2" t="n">
        <v>2</v>
      </c>
      <c r="J413" s="4" t="n">
        <v>1637.02</v>
      </c>
      <c r="K413" s="4" t="n">
        <v>223.54</v>
      </c>
      <c r="L413" s="5" t="n">
        <f aca="false">IF(H413=0,0,I413/H413)</f>
        <v>0.222222222222222</v>
      </c>
      <c r="M413" s="6" t="n">
        <f aca="false">IF(I413=0,0,J413/I413)</f>
        <v>818.51</v>
      </c>
    </row>
    <row r="414" customFormat="false" ht="15" hidden="false" customHeight="false" outlineLevel="0" collapsed="false">
      <c r="A414" s="2" t="n">
        <v>413</v>
      </c>
      <c r="B414" s="3" t="s">
        <v>95</v>
      </c>
      <c r="C414" s="3" t="s">
        <v>94</v>
      </c>
      <c r="D414" s="3" t="s">
        <v>15</v>
      </c>
      <c r="E414" s="3" t="s">
        <v>16</v>
      </c>
      <c r="F414" s="3" t="s">
        <v>20</v>
      </c>
      <c r="G414" s="3" t="s">
        <v>31</v>
      </c>
      <c r="H414" s="2" t="n">
        <v>6</v>
      </c>
      <c r="I414" s="2" t="n">
        <v>1</v>
      </c>
      <c r="J414" s="4" t="n">
        <v>220.63</v>
      </c>
      <c r="K414" s="4" t="n">
        <v>66.73</v>
      </c>
      <c r="L414" s="5" t="n">
        <f aca="false">IF(H414=0,0,I414/H414)</f>
        <v>0.166666666666667</v>
      </c>
      <c r="M414" s="6" t="n">
        <f aca="false">IF(I414=0,0,J414/I414)</f>
        <v>220.63</v>
      </c>
    </row>
    <row r="415" customFormat="false" ht="15" hidden="false" customHeight="false" outlineLevel="0" collapsed="false">
      <c r="A415" s="2" t="n">
        <v>414</v>
      </c>
      <c r="B415" s="3" t="s">
        <v>95</v>
      </c>
      <c r="C415" s="3" t="s">
        <v>94</v>
      </c>
      <c r="D415" s="3" t="s">
        <v>15</v>
      </c>
      <c r="E415" s="3" t="s">
        <v>28</v>
      </c>
      <c r="F415" s="3" t="s">
        <v>29</v>
      </c>
      <c r="G415" s="3" t="s">
        <v>31</v>
      </c>
      <c r="H415" s="2" t="n">
        <v>3</v>
      </c>
      <c r="I415" s="2" t="n">
        <v>1</v>
      </c>
      <c r="J415" s="4" t="n">
        <v>169.61</v>
      </c>
      <c r="K415" s="4" t="n">
        <v>51.99</v>
      </c>
      <c r="L415" s="5" t="n">
        <f aca="false">IF(H415=0,0,I415/H415)</f>
        <v>0.333333333333333</v>
      </c>
      <c r="M415" s="6" t="n">
        <f aca="false">IF(I415=0,0,J415/I415)</f>
        <v>169.61</v>
      </c>
    </row>
    <row r="416" customFormat="false" ht="15" hidden="false" customHeight="false" outlineLevel="0" collapsed="false">
      <c r="A416" s="2" t="n">
        <v>415</v>
      </c>
      <c r="B416" s="3" t="s">
        <v>95</v>
      </c>
      <c r="C416" s="3" t="s">
        <v>94</v>
      </c>
      <c r="D416" s="3" t="s">
        <v>22</v>
      </c>
      <c r="E416" s="3" t="s">
        <v>28</v>
      </c>
      <c r="F416" s="3" t="s">
        <v>17</v>
      </c>
      <c r="G416" s="3" t="s">
        <v>30</v>
      </c>
      <c r="H416" s="2" t="n">
        <v>9</v>
      </c>
      <c r="I416" s="2" t="n">
        <v>1</v>
      </c>
      <c r="J416" s="4" t="n">
        <v>122.15</v>
      </c>
      <c r="K416" s="4" t="n">
        <v>54.41</v>
      </c>
      <c r="L416" s="5" t="n">
        <f aca="false">IF(H416=0,0,I416/H416)</f>
        <v>0.111111111111111</v>
      </c>
      <c r="M416" s="6" t="n">
        <f aca="false">IF(I416=0,0,J416/I416)</f>
        <v>122.15</v>
      </c>
    </row>
    <row r="417" customFormat="false" ht="15" hidden="false" customHeight="false" outlineLevel="0" collapsed="false">
      <c r="A417" s="2" t="n">
        <v>416</v>
      </c>
      <c r="B417" s="3" t="s">
        <v>95</v>
      </c>
      <c r="C417" s="3" t="s">
        <v>94</v>
      </c>
      <c r="D417" s="3" t="s">
        <v>24</v>
      </c>
      <c r="E417" s="3" t="s">
        <v>28</v>
      </c>
      <c r="F417" s="3" t="s">
        <v>23</v>
      </c>
      <c r="G417" s="3" t="s">
        <v>30</v>
      </c>
      <c r="H417" s="2" t="n">
        <v>5</v>
      </c>
      <c r="I417" s="2" t="n">
        <v>0</v>
      </c>
      <c r="J417" s="4" t="n">
        <v>0</v>
      </c>
      <c r="K417" s="4" t="n">
        <v>0</v>
      </c>
      <c r="L417" s="5" t="n">
        <f aca="false">IF(H417=0,0,I417/H417)</f>
        <v>0</v>
      </c>
      <c r="M417" s="6" t="n">
        <f aca="false">IF(I417=0,0,J417/I417)</f>
        <v>0</v>
      </c>
    </row>
    <row r="418" customFormat="false" ht="15" hidden="false" customHeight="false" outlineLevel="0" collapsed="false">
      <c r="A418" s="2" t="n">
        <v>417</v>
      </c>
      <c r="B418" s="3" t="s">
        <v>95</v>
      </c>
      <c r="C418" s="3" t="s">
        <v>94</v>
      </c>
      <c r="D418" s="3" t="s">
        <v>22</v>
      </c>
      <c r="E418" s="3" t="s">
        <v>16</v>
      </c>
      <c r="F418" s="3" t="s">
        <v>23</v>
      </c>
      <c r="G418" s="3" t="s">
        <v>21</v>
      </c>
      <c r="H418" s="2" t="n">
        <v>5</v>
      </c>
      <c r="I418" s="2" t="n">
        <v>0</v>
      </c>
      <c r="J418" s="4" t="n">
        <v>0</v>
      </c>
      <c r="K418" s="4" t="n">
        <v>0</v>
      </c>
      <c r="L418" s="5" t="n">
        <f aca="false">IF(H418=0,0,I418/H418)</f>
        <v>0</v>
      </c>
      <c r="M418" s="6" t="n">
        <f aca="false">IF(I418=0,0,J418/I418)</f>
        <v>0</v>
      </c>
    </row>
    <row r="419" customFormat="false" ht="15" hidden="false" customHeight="false" outlineLevel="0" collapsed="false">
      <c r="A419" s="2" t="n">
        <v>418</v>
      </c>
      <c r="B419" s="3" t="s">
        <v>95</v>
      </c>
      <c r="C419" s="3" t="s">
        <v>94</v>
      </c>
      <c r="D419" s="3" t="s">
        <v>24</v>
      </c>
      <c r="E419" s="3" t="s">
        <v>33</v>
      </c>
      <c r="F419" s="3" t="s">
        <v>23</v>
      </c>
      <c r="G419" s="3" t="s">
        <v>18</v>
      </c>
      <c r="H419" s="2" t="n">
        <v>5</v>
      </c>
      <c r="I419" s="2" t="n">
        <v>0</v>
      </c>
      <c r="J419" s="4" t="n">
        <v>0</v>
      </c>
      <c r="K419" s="4" t="n">
        <v>0</v>
      </c>
      <c r="L419" s="5" t="n">
        <f aca="false">IF(H419=0,0,I419/H419)</f>
        <v>0</v>
      </c>
      <c r="M419" s="6" t="n">
        <f aca="false">IF(I419=0,0,J419/I419)</f>
        <v>0</v>
      </c>
    </row>
    <row r="420" customFormat="false" ht="15" hidden="false" customHeight="false" outlineLevel="0" collapsed="false">
      <c r="A420" s="2" t="n">
        <v>419</v>
      </c>
      <c r="B420" s="3" t="s">
        <v>96</v>
      </c>
      <c r="C420" s="3" t="s">
        <v>94</v>
      </c>
      <c r="D420" s="3" t="s">
        <v>19</v>
      </c>
      <c r="E420" s="3" t="s">
        <v>16</v>
      </c>
      <c r="F420" s="3" t="s">
        <v>17</v>
      </c>
      <c r="G420" s="3" t="s">
        <v>21</v>
      </c>
      <c r="H420" s="2" t="n">
        <v>7</v>
      </c>
      <c r="I420" s="2" t="n">
        <v>2</v>
      </c>
      <c r="J420" s="4" t="n">
        <v>1423.15</v>
      </c>
      <c r="K420" s="4" t="n">
        <v>208.41</v>
      </c>
      <c r="L420" s="5" t="n">
        <f aca="false">IF(H420=0,0,I420/H420)</f>
        <v>0.285714285714286</v>
      </c>
      <c r="M420" s="6" t="n">
        <f aca="false">IF(I420=0,0,J420/I420)</f>
        <v>711.575</v>
      </c>
    </row>
    <row r="421" customFormat="false" ht="15" hidden="false" customHeight="false" outlineLevel="0" collapsed="false">
      <c r="A421" s="2" t="n">
        <v>420</v>
      </c>
      <c r="B421" s="3" t="s">
        <v>96</v>
      </c>
      <c r="C421" s="3" t="s">
        <v>94</v>
      </c>
      <c r="D421" s="3" t="s">
        <v>22</v>
      </c>
      <c r="E421" s="3" t="s">
        <v>16</v>
      </c>
      <c r="F421" s="3" t="s">
        <v>23</v>
      </c>
      <c r="G421" s="3" t="s">
        <v>31</v>
      </c>
      <c r="H421" s="2" t="n">
        <v>6</v>
      </c>
      <c r="I421" s="2" t="n">
        <v>1</v>
      </c>
      <c r="J421" s="4" t="n">
        <v>111.42</v>
      </c>
      <c r="K421" s="4" t="n">
        <v>50.13</v>
      </c>
      <c r="L421" s="5" t="n">
        <f aca="false">IF(H421=0,0,I421/H421)</f>
        <v>0.166666666666667</v>
      </c>
      <c r="M421" s="6" t="n">
        <f aca="false">IF(I421=0,0,J421/I421)</f>
        <v>111.42</v>
      </c>
    </row>
    <row r="422" customFormat="false" ht="15" hidden="false" customHeight="false" outlineLevel="0" collapsed="false">
      <c r="A422" s="2" t="n">
        <v>421</v>
      </c>
      <c r="B422" s="3" t="s">
        <v>96</v>
      </c>
      <c r="C422" s="3" t="s">
        <v>94</v>
      </c>
      <c r="D422" s="3" t="s">
        <v>22</v>
      </c>
      <c r="E422" s="3" t="s">
        <v>25</v>
      </c>
      <c r="F422" s="3" t="s">
        <v>20</v>
      </c>
      <c r="G422" s="3" t="s">
        <v>30</v>
      </c>
      <c r="H422" s="2" t="n">
        <v>9</v>
      </c>
      <c r="I422" s="2" t="n">
        <v>4</v>
      </c>
      <c r="J422" s="4" t="n">
        <v>417.83</v>
      </c>
      <c r="K422" s="4" t="n">
        <v>173.89</v>
      </c>
      <c r="L422" s="5" t="n">
        <f aca="false">IF(H422=0,0,I422/H422)</f>
        <v>0.444444444444444</v>
      </c>
      <c r="M422" s="6" t="n">
        <f aca="false">IF(I422=0,0,J422/I422)</f>
        <v>104.4575</v>
      </c>
    </row>
    <row r="423" customFormat="false" ht="15" hidden="false" customHeight="false" outlineLevel="0" collapsed="false">
      <c r="A423" s="2" t="n">
        <v>422</v>
      </c>
      <c r="B423" s="3" t="s">
        <v>96</v>
      </c>
      <c r="C423" s="3" t="s">
        <v>94</v>
      </c>
      <c r="D423" s="3" t="s">
        <v>24</v>
      </c>
      <c r="E423" s="3" t="s">
        <v>33</v>
      </c>
      <c r="F423" s="3" t="s">
        <v>23</v>
      </c>
      <c r="G423" s="3" t="s">
        <v>31</v>
      </c>
      <c r="H423" s="2" t="n">
        <v>11</v>
      </c>
      <c r="I423" s="2" t="n">
        <v>4</v>
      </c>
      <c r="J423" s="4" t="n">
        <v>1122.28</v>
      </c>
      <c r="K423" s="4" t="n">
        <v>269.9</v>
      </c>
      <c r="L423" s="5" t="n">
        <f aca="false">IF(H423=0,0,I423/H423)</f>
        <v>0.363636363636364</v>
      </c>
      <c r="M423" s="6" t="n">
        <f aca="false">IF(I423=0,0,J423/I423)</f>
        <v>280.57</v>
      </c>
    </row>
    <row r="424" customFormat="false" ht="15" hidden="false" customHeight="false" outlineLevel="0" collapsed="false">
      <c r="A424" s="2" t="n">
        <v>423</v>
      </c>
      <c r="B424" s="3" t="s">
        <v>96</v>
      </c>
      <c r="C424" s="3" t="s">
        <v>94</v>
      </c>
      <c r="D424" s="3" t="s">
        <v>19</v>
      </c>
      <c r="E424" s="3" t="s">
        <v>25</v>
      </c>
      <c r="F424" s="3" t="s">
        <v>17</v>
      </c>
      <c r="G424" s="3" t="s">
        <v>26</v>
      </c>
      <c r="H424" s="2" t="n">
        <v>8</v>
      </c>
      <c r="I424" s="2" t="n">
        <v>1</v>
      </c>
      <c r="J424" s="4" t="n">
        <v>864.47</v>
      </c>
      <c r="K424" s="4" t="n">
        <v>120.6</v>
      </c>
      <c r="L424" s="5" t="n">
        <f aca="false">IF(H424=0,0,I424/H424)</f>
        <v>0.125</v>
      </c>
      <c r="M424" s="6" t="n">
        <f aca="false">IF(I424=0,0,J424/I424)</f>
        <v>864.47</v>
      </c>
    </row>
    <row r="425" customFormat="false" ht="15" hidden="false" customHeight="false" outlineLevel="0" collapsed="false">
      <c r="A425" s="2" t="n">
        <v>424</v>
      </c>
      <c r="B425" s="3" t="s">
        <v>96</v>
      </c>
      <c r="C425" s="3" t="s">
        <v>94</v>
      </c>
      <c r="D425" s="3" t="s">
        <v>22</v>
      </c>
      <c r="E425" s="3" t="s">
        <v>16</v>
      </c>
      <c r="F425" s="3" t="s">
        <v>23</v>
      </c>
      <c r="G425" s="3" t="s">
        <v>30</v>
      </c>
      <c r="H425" s="2" t="n">
        <v>10</v>
      </c>
      <c r="I425" s="2" t="n">
        <v>1</v>
      </c>
      <c r="J425" s="4" t="n">
        <v>124.21</v>
      </c>
      <c r="K425" s="4" t="n">
        <v>48.93</v>
      </c>
      <c r="L425" s="5" t="n">
        <f aca="false">IF(H425=0,0,I425/H425)</f>
        <v>0.1</v>
      </c>
      <c r="M425" s="6" t="n">
        <f aca="false">IF(I425=0,0,J425/I425)</f>
        <v>124.21</v>
      </c>
    </row>
    <row r="426" customFormat="false" ht="15" hidden="false" customHeight="false" outlineLevel="0" collapsed="false">
      <c r="A426" s="2" t="n">
        <v>425</v>
      </c>
      <c r="B426" s="3" t="s">
        <v>96</v>
      </c>
      <c r="C426" s="3" t="s">
        <v>94</v>
      </c>
      <c r="D426" s="3" t="s">
        <v>27</v>
      </c>
      <c r="E426" s="3" t="s">
        <v>16</v>
      </c>
      <c r="F426" s="3" t="s">
        <v>23</v>
      </c>
      <c r="G426" s="3" t="s">
        <v>26</v>
      </c>
      <c r="H426" s="2" t="n">
        <v>6</v>
      </c>
      <c r="I426" s="2" t="n">
        <v>1</v>
      </c>
      <c r="J426" s="4" t="n">
        <v>1657.48</v>
      </c>
      <c r="K426" s="4" t="n">
        <v>319.24</v>
      </c>
      <c r="L426" s="5" t="n">
        <f aca="false">IF(H426=0,0,I426/H426)</f>
        <v>0.166666666666667</v>
      </c>
      <c r="M426" s="6" t="n">
        <f aca="false">IF(I426=0,0,J426/I426)</f>
        <v>1657.48</v>
      </c>
    </row>
    <row r="427" customFormat="false" ht="15" hidden="false" customHeight="false" outlineLevel="0" collapsed="false">
      <c r="A427" s="2" t="n">
        <v>426</v>
      </c>
      <c r="B427" s="3" t="s">
        <v>97</v>
      </c>
      <c r="C427" s="3" t="s">
        <v>94</v>
      </c>
      <c r="D427" s="3" t="s">
        <v>22</v>
      </c>
      <c r="E427" s="3" t="s">
        <v>16</v>
      </c>
      <c r="F427" s="3" t="s">
        <v>20</v>
      </c>
      <c r="G427" s="3" t="s">
        <v>18</v>
      </c>
      <c r="H427" s="2" t="n">
        <v>9</v>
      </c>
      <c r="I427" s="2" t="n">
        <v>3</v>
      </c>
      <c r="J427" s="4" t="n">
        <v>440.83</v>
      </c>
      <c r="K427" s="4" t="n">
        <v>175.16</v>
      </c>
      <c r="L427" s="5" t="n">
        <f aca="false">IF(H427=0,0,I427/H427)</f>
        <v>0.333333333333333</v>
      </c>
      <c r="M427" s="6" t="n">
        <f aca="false">IF(I427=0,0,J427/I427)</f>
        <v>146.943333333333</v>
      </c>
    </row>
    <row r="428" customFormat="false" ht="15" hidden="false" customHeight="false" outlineLevel="0" collapsed="false">
      <c r="A428" s="2" t="n">
        <v>427</v>
      </c>
      <c r="B428" s="3" t="s">
        <v>97</v>
      </c>
      <c r="C428" s="3" t="s">
        <v>94</v>
      </c>
      <c r="D428" s="3" t="s">
        <v>15</v>
      </c>
      <c r="E428" s="3" t="s">
        <v>28</v>
      </c>
      <c r="F428" s="3" t="s">
        <v>17</v>
      </c>
      <c r="G428" s="3" t="s">
        <v>21</v>
      </c>
      <c r="H428" s="2" t="n">
        <v>12</v>
      </c>
      <c r="I428" s="2" t="n">
        <v>1</v>
      </c>
      <c r="J428" s="4" t="n">
        <v>189.31</v>
      </c>
      <c r="K428" s="4" t="n">
        <v>56.3</v>
      </c>
      <c r="L428" s="5" t="n">
        <f aca="false">IF(H428=0,0,I428/H428)</f>
        <v>0.0833333333333333</v>
      </c>
      <c r="M428" s="6" t="n">
        <f aca="false">IF(I428=0,0,J428/I428)</f>
        <v>189.31</v>
      </c>
    </row>
    <row r="429" customFormat="false" ht="15" hidden="false" customHeight="false" outlineLevel="0" collapsed="false">
      <c r="A429" s="2" t="n">
        <v>428</v>
      </c>
      <c r="B429" s="3" t="s">
        <v>97</v>
      </c>
      <c r="C429" s="3" t="s">
        <v>94</v>
      </c>
      <c r="D429" s="3" t="s">
        <v>27</v>
      </c>
      <c r="E429" s="3" t="s">
        <v>16</v>
      </c>
      <c r="F429" s="3" t="s">
        <v>23</v>
      </c>
      <c r="G429" s="3" t="s">
        <v>21</v>
      </c>
      <c r="H429" s="2" t="n">
        <v>6</v>
      </c>
      <c r="I429" s="2" t="n">
        <v>0</v>
      </c>
      <c r="J429" s="4" t="n">
        <v>0</v>
      </c>
      <c r="K429" s="4" t="n">
        <v>0</v>
      </c>
      <c r="L429" s="5" t="n">
        <f aca="false">IF(H429=0,0,I429/H429)</f>
        <v>0</v>
      </c>
      <c r="M429" s="6" t="n">
        <f aca="false">IF(I429=0,0,J429/I429)</f>
        <v>0</v>
      </c>
    </row>
    <row r="430" customFormat="false" ht="15" hidden="false" customHeight="false" outlineLevel="0" collapsed="false">
      <c r="A430" s="2" t="n">
        <v>429</v>
      </c>
      <c r="B430" s="3" t="s">
        <v>97</v>
      </c>
      <c r="C430" s="3" t="s">
        <v>94</v>
      </c>
      <c r="D430" s="3" t="s">
        <v>24</v>
      </c>
      <c r="E430" s="3" t="s">
        <v>25</v>
      </c>
      <c r="F430" s="3" t="s">
        <v>23</v>
      </c>
      <c r="G430" s="3" t="s">
        <v>34</v>
      </c>
      <c r="H430" s="2" t="n">
        <v>11</v>
      </c>
      <c r="I430" s="2" t="n">
        <v>2</v>
      </c>
      <c r="J430" s="4" t="n">
        <v>626.35</v>
      </c>
      <c r="K430" s="4" t="n">
        <v>145.86</v>
      </c>
      <c r="L430" s="5" t="n">
        <f aca="false">IF(H430=0,0,I430/H430)</f>
        <v>0.181818181818182</v>
      </c>
      <c r="M430" s="6" t="n">
        <f aca="false">IF(I430=0,0,J430/I430)</f>
        <v>313.175</v>
      </c>
    </row>
    <row r="431" customFormat="false" ht="15" hidden="false" customHeight="false" outlineLevel="0" collapsed="false">
      <c r="A431" s="2" t="n">
        <v>430</v>
      </c>
      <c r="B431" s="3" t="s">
        <v>97</v>
      </c>
      <c r="C431" s="3" t="s">
        <v>94</v>
      </c>
      <c r="D431" s="3" t="s">
        <v>19</v>
      </c>
      <c r="E431" s="3" t="s">
        <v>33</v>
      </c>
      <c r="F431" s="3" t="s">
        <v>23</v>
      </c>
      <c r="G431" s="3" t="s">
        <v>34</v>
      </c>
      <c r="H431" s="2" t="n">
        <v>6</v>
      </c>
      <c r="I431" s="2" t="n">
        <v>1</v>
      </c>
      <c r="J431" s="4" t="n">
        <v>844.48</v>
      </c>
      <c r="K431" s="4" t="n">
        <v>126.72</v>
      </c>
      <c r="L431" s="5" t="n">
        <f aca="false">IF(H431=0,0,I431/H431)</f>
        <v>0.166666666666667</v>
      </c>
      <c r="M431" s="6" t="n">
        <f aca="false">IF(I431=0,0,J431/I431)</f>
        <v>844.48</v>
      </c>
    </row>
    <row r="432" customFormat="false" ht="15" hidden="false" customHeight="false" outlineLevel="0" collapsed="false">
      <c r="A432" s="2" t="n">
        <v>431</v>
      </c>
      <c r="B432" s="3" t="s">
        <v>97</v>
      </c>
      <c r="C432" s="3" t="s">
        <v>94</v>
      </c>
      <c r="D432" s="3" t="s">
        <v>19</v>
      </c>
      <c r="E432" s="3" t="s">
        <v>25</v>
      </c>
      <c r="F432" s="3" t="s">
        <v>23</v>
      </c>
      <c r="G432" s="3" t="s">
        <v>31</v>
      </c>
      <c r="H432" s="2" t="n">
        <v>7</v>
      </c>
      <c r="I432" s="2" t="n">
        <v>0</v>
      </c>
      <c r="J432" s="4" t="n">
        <v>0</v>
      </c>
      <c r="K432" s="4" t="n">
        <v>0</v>
      </c>
      <c r="L432" s="5" t="n">
        <f aca="false">IF(H432=0,0,I432/H432)</f>
        <v>0</v>
      </c>
      <c r="M432" s="6" t="n">
        <f aca="false">IF(I432=0,0,J432/I432)</f>
        <v>0</v>
      </c>
    </row>
    <row r="433" customFormat="false" ht="15" hidden="false" customHeight="false" outlineLevel="0" collapsed="false">
      <c r="A433" s="2" t="n">
        <v>432</v>
      </c>
      <c r="B433" s="3" t="s">
        <v>97</v>
      </c>
      <c r="C433" s="3" t="s">
        <v>94</v>
      </c>
      <c r="D433" s="3" t="s">
        <v>15</v>
      </c>
      <c r="E433" s="3" t="s">
        <v>28</v>
      </c>
      <c r="F433" s="3" t="s">
        <v>23</v>
      </c>
      <c r="G433" s="3" t="s">
        <v>34</v>
      </c>
      <c r="H433" s="2" t="n">
        <v>10</v>
      </c>
      <c r="I433" s="2" t="n">
        <v>0</v>
      </c>
      <c r="J433" s="4" t="n">
        <v>0</v>
      </c>
      <c r="K433" s="4" t="n">
        <v>0</v>
      </c>
      <c r="L433" s="5" t="n">
        <f aca="false">IF(H433=0,0,I433/H433)</f>
        <v>0</v>
      </c>
      <c r="M433" s="6" t="n">
        <f aca="false">IF(I433=0,0,J433/I433)</f>
        <v>0</v>
      </c>
    </row>
    <row r="434" customFormat="false" ht="15" hidden="false" customHeight="false" outlineLevel="0" collapsed="false">
      <c r="A434" s="2" t="n">
        <v>433</v>
      </c>
      <c r="B434" s="3" t="s">
        <v>97</v>
      </c>
      <c r="C434" s="3" t="s">
        <v>94</v>
      </c>
      <c r="D434" s="3" t="s">
        <v>19</v>
      </c>
      <c r="E434" s="3" t="s">
        <v>33</v>
      </c>
      <c r="F434" s="3" t="s">
        <v>17</v>
      </c>
      <c r="G434" s="3" t="s">
        <v>31</v>
      </c>
      <c r="H434" s="2" t="n">
        <v>7</v>
      </c>
      <c r="I434" s="2" t="n">
        <v>2</v>
      </c>
      <c r="J434" s="4" t="n">
        <v>1756.22</v>
      </c>
      <c r="K434" s="4" t="n">
        <v>230.36</v>
      </c>
      <c r="L434" s="5" t="n">
        <f aca="false">IF(H434=0,0,I434/H434)</f>
        <v>0.285714285714286</v>
      </c>
      <c r="M434" s="6" t="n">
        <f aca="false">IF(I434=0,0,J434/I434)</f>
        <v>878.11</v>
      </c>
    </row>
    <row r="435" customFormat="false" ht="15" hidden="false" customHeight="false" outlineLevel="0" collapsed="false">
      <c r="A435" s="2" t="n">
        <v>434</v>
      </c>
      <c r="B435" s="3" t="s">
        <v>97</v>
      </c>
      <c r="C435" s="3" t="s">
        <v>94</v>
      </c>
      <c r="D435" s="3" t="s">
        <v>24</v>
      </c>
      <c r="E435" s="3" t="s">
        <v>25</v>
      </c>
      <c r="F435" s="3" t="s">
        <v>23</v>
      </c>
      <c r="G435" s="3" t="s">
        <v>30</v>
      </c>
      <c r="H435" s="2" t="n">
        <v>5</v>
      </c>
      <c r="I435" s="2" t="n">
        <v>1</v>
      </c>
      <c r="J435" s="4" t="n">
        <v>236.92</v>
      </c>
      <c r="K435" s="4" t="n">
        <v>63.85</v>
      </c>
      <c r="L435" s="5" t="n">
        <f aca="false">IF(H435=0,0,I435/H435)</f>
        <v>0.2</v>
      </c>
      <c r="M435" s="6" t="n">
        <f aca="false">IF(I435=0,0,J435/I435)</f>
        <v>236.92</v>
      </c>
    </row>
    <row r="436" customFormat="false" ht="15" hidden="false" customHeight="false" outlineLevel="0" collapsed="false">
      <c r="A436" s="2" t="n">
        <v>435</v>
      </c>
      <c r="B436" s="3" t="s">
        <v>97</v>
      </c>
      <c r="C436" s="3" t="s">
        <v>94</v>
      </c>
      <c r="D436" s="3" t="s">
        <v>24</v>
      </c>
      <c r="E436" s="3" t="s">
        <v>33</v>
      </c>
      <c r="F436" s="3" t="s">
        <v>23</v>
      </c>
      <c r="G436" s="3" t="s">
        <v>34</v>
      </c>
      <c r="H436" s="2" t="n">
        <v>3</v>
      </c>
      <c r="I436" s="2" t="n">
        <v>0</v>
      </c>
      <c r="J436" s="4" t="n">
        <v>0</v>
      </c>
      <c r="K436" s="4" t="n">
        <v>0</v>
      </c>
      <c r="L436" s="5" t="n">
        <f aca="false">IF(H436=0,0,I436/H436)</f>
        <v>0</v>
      </c>
      <c r="M436" s="6" t="n">
        <f aca="false">IF(I436=0,0,J436/I436)</f>
        <v>0</v>
      </c>
    </row>
    <row r="437" customFormat="false" ht="15" hidden="false" customHeight="false" outlineLevel="0" collapsed="false">
      <c r="A437" s="2" t="n">
        <v>436</v>
      </c>
      <c r="B437" s="3" t="s">
        <v>97</v>
      </c>
      <c r="C437" s="3" t="s">
        <v>94</v>
      </c>
      <c r="D437" s="3" t="s">
        <v>15</v>
      </c>
      <c r="E437" s="3" t="s">
        <v>33</v>
      </c>
      <c r="F437" s="3" t="s">
        <v>23</v>
      </c>
      <c r="G437" s="3" t="s">
        <v>21</v>
      </c>
      <c r="H437" s="2" t="n">
        <v>6</v>
      </c>
      <c r="I437" s="2" t="n">
        <v>2</v>
      </c>
      <c r="J437" s="4" t="n">
        <v>487.87</v>
      </c>
      <c r="K437" s="4" t="n">
        <v>138.77</v>
      </c>
      <c r="L437" s="5" t="n">
        <f aca="false">IF(H437=0,0,I437/H437)</f>
        <v>0.333333333333333</v>
      </c>
      <c r="M437" s="6" t="n">
        <f aca="false">IF(I437=0,0,J437/I437)</f>
        <v>243.935</v>
      </c>
    </row>
    <row r="438" customFormat="false" ht="15" hidden="false" customHeight="false" outlineLevel="0" collapsed="false">
      <c r="A438" s="2" t="n">
        <v>437</v>
      </c>
      <c r="B438" s="3" t="s">
        <v>98</v>
      </c>
      <c r="C438" s="3" t="s">
        <v>94</v>
      </c>
      <c r="D438" s="3" t="s">
        <v>15</v>
      </c>
      <c r="E438" s="3" t="s">
        <v>16</v>
      </c>
      <c r="F438" s="3" t="s">
        <v>29</v>
      </c>
      <c r="G438" s="3" t="s">
        <v>21</v>
      </c>
      <c r="H438" s="2" t="n">
        <v>7</v>
      </c>
      <c r="I438" s="2" t="n">
        <v>0</v>
      </c>
      <c r="J438" s="4" t="n">
        <v>0</v>
      </c>
      <c r="K438" s="4" t="n">
        <v>0</v>
      </c>
      <c r="L438" s="5" t="n">
        <f aca="false">IF(H438=0,0,I438/H438)</f>
        <v>0</v>
      </c>
      <c r="M438" s="6" t="n">
        <f aca="false">IF(I438=0,0,J438/I438)</f>
        <v>0</v>
      </c>
    </row>
    <row r="439" customFormat="false" ht="15" hidden="false" customHeight="false" outlineLevel="0" collapsed="false">
      <c r="A439" s="2" t="n">
        <v>438</v>
      </c>
      <c r="B439" s="3" t="s">
        <v>98</v>
      </c>
      <c r="C439" s="3" t="s">
        <v>94</v>
      </c>
      <c r="D439" s="3" t="s">
        <v>15</v>
      </c>
      <c r="E439" s="3" t="s">
        <v>25</v>
      </c>
      <c r="F439" s="3" t="s">
        <v>17</v>
      </c>
      <c r="G439" s="3" t="s">
        <v>34</v>
      </c>
      <c r="H439" s="2" t="n">
        <v>3</v>
      </c>
      <c r="I439" s="2" t="n">
        <v>1</v>
      </c>
      <c r="J439" s="4" t="n">
        <v>177.99</v>
      </c>
      <c r="K439" s="4" t="n">
        <v>55.17</v>
      </c>
      <c r="L439" s="5" t="n">
        <f aca="false">IF(H439=0,0,I439/H439)</f>
        <v>0.333333333333333</v>
      </c>
      <c r="M439" s="6" t="n">
        <f aca="false">IF(I439=0,0,J439/I439)</f>
        <v>177.99</v>
      </c>
    </row>
    <row r="440" customFormat="false" ht="15" hidden="false" customHeight="false" outlineLevel="0" collapsed="false">
      <c r="A440" s="2" t="n">
        <v>439</v>
      </c>
      <c r="B440" s="3" t="s">
        <v>98</v>
      </c>
      <c r="C440" s="3" t="s">
        <v>94</v>
      </c>
      <c r="D440" s="3" t="s">
        <v>24</v>
      </c>
      <c r="E440" s="3" t="s">
        <v>16</v>
      </c>
      <c r="F440" s="3" t="s">
        <v>20</v>
      </c>
      <c r="G440" s="3" t="s">
        <v>26</v>
      </c>
      <c r="H440" s="2" t="n">
        <v>11</v>
      </c>
      <c r="I440" s="2" t="n">
        <v>0</v>
      </c>
      <c r="J440" s="4" t="n">
        <v>0</v>
      </c>
      <c r="K440" s="4" t="n">
        <v>0</v>
      </c>
      <c r="L440" s="5" t="n">
        <f aca="false">IF(H440=0,0,I440/H440)</f>
        <v>0</v>
      </c>
      <c r="M440" s="6" t="n">
        <f aca="false">IF(I440=0,0,J440/I440)</f>
        <v>0</v>
      </c>
    </row>
    <row r="441" customFormat="false" ht="15" hidden="false" customHeight="false" outlineLevel="0" collapsed="false">
      <c r="A441" s="2" t="n">
        <v>440</v>
      </c>
      <c r="B441" s="3" t="s">
        <v>98</v>
      </c>
      <c r="C441" s="3" t="s">
        <v>94</v>
      </c>
      <c r="D441" s="3" t="s">
        <v>15</v>
      </c>
      <c r="E441" s="3" t="s">
        <v>33</v>
      </c>
      <c r="F441" s="3" t="s">
        <v>29</v>
      </c>
      <c r="G441" s="3" t="s">
        <v>34</v>
      </c>
      <c r="H441" s="2" t="n">
        <v>4</v>
      </c>
      <c r="I441" s="2" t="n">
        <v>2</v>
      </c>
      <c r="J441" s="4" t="n">
        <v>314.29</v>
      </c>
      <c r="K441" s="4" t="n">
        <v>94.95</v>
      </c>
      <c r="L441" s="5" t="n">
        <f aca="false">IF(H441=0,0,I441/H441)</f>
        <v>0.5</v>
      </c>
      <c r="M441" s="6" t="n">
        <f aca="false">IF(I441=0,0,J441/I441)</f>
        <v>157.145</v>
      </c>
    </row>
    <row r="442" customFormat="false" ht="15" hidden="false" customHeight="false" outlineLevel="0" collapsed="false">
      <c r="A442" s="2" t="n">
        <v>441</v>
      </c>
      <c r="B442" s="3" t="s">
        <v>98</v>
      </c>
      <c r="C442" s="3" t="s">
        <v>94</v>
      </c>
      <c r="D442" s="3" t="s">
        <v>19</v>
      </c>
      <c r="E442" s="3" t="s">
        <v>16</v>
      </c>
      <c r="F442" s="3" t="s">
        <v>23</v>
      </c>
      <c r="G442" s="3" t="s">
        <v>34</v>
      </c>
      <c r="H442" s="2" t="n">
        <v>9</v>
      </c>
      <c r="I442" s="2" t="n">
        <v>2</v>
      </c>
      <c r="J442" s="4" t="n">
        <v>2080.14</v>
      </c>
      <c r="K442" s="4" t="n">
        <v>271.57</v>
      </c>
      <c r="L442" s="5" t="n">
        <f aca="false">IF(H442=0,0,I442/H442)</f>
        <v>0.222222222222222</v>
      </c>
      <c r="M442" s="6" t="n">
        <f aca="false">IF(I442=0,0,J442/I442)</f>
        <v>1040.07</v>
      </c>
    </row>
    <row r="443" customFormat="false" ht="15" hidden="false" customHeight="false" outlineLevel="0" collapsed="false">
      <c r="A443" s="2" t="n">
        <v>442</v>
      </c>
      <c r="B443" s="3" t="s">
        <v>98</v>
      </c>
      <c r="C443" s="3" t="s">
        <v>94</v>
      </c>
      <c r="D443" s="3" t="s">
        <v>19</v>
      </c>
      <c r="E443" s="3" t="s">
        <v>28</v>
      </c>
      <c r="F443" s="3" t="s">
        <v>23</v>
      </c>
      <c r="G443" s="3" t="s">
        <v>18</v>
      </c>
      <c r="H443" s="2" t="n">
        <v>8</v>
      </c>
      <c r="I443" s="2" t="n">
        <v>1</v>
      </c>
      <c r="J443" s="4" t="n">
        <v>868.37</v>
      </c>
      <c r="K443" s="4" t="n">
        <v>130.55</v>
      </c>
      <c r="L443" s="5" t="n">
        <f aca="false">IF(H443=0,0,I443/H443)</f>
        <v>0.125</v>
      </c>
      <c r="M443" s="6" t="n">
        <f aca="false">IF(I443=0,0,J443/I443)</f>
        <v>868.37</v>
      </c>
    </row>
    <row r="444" customFormat="false" ht="15" hidden="false" customHeight="false" outlineLevel="0" collapsed="false">
      <c r="A444" s="2" t="n">
        <v>443</v>
      </c>
      <c r="B444" s="3" t="s">
        <v>98</v>
      </c>
      <c r="C444" s="3" t="s">
        <v>94</v>
      </c>
      <c r="D444" s="3" t="s">
        <v>15</v>
      </c>
      <c r="E444" s="3" t="s">
        <v>25</v>
      </c>
      <c r="F444" s="3" t="s">
        <v>23</v>
      </c>
      <c r="G444" s="3" t="s">
        <v>21</v>
      </c>
      <c r="H444" s="2" t="n">
        <v>7</v>
      </c>
      <c r="I444" s="2" t="n">
        <v>1</v>
      </c>
      <c r="J444" s="4" t="n">
        <v>199.73</v>
      </c>
      <c r="K444" s="4" t="n">
        <v>61.27</v>
      </c>
      <c r="L444" s="5" t="n">
        <f aca="false">IF(H444=0,0,I444/H444)</f>
        <v>0.142857142857143</v>
      </c>
      <c r="M444" s="6" t="n">
        <f aca="false">IF(I444=0,0,J444/I444)</f>
        <v>199.73</v>
      </c>
    </row>
    <row r="445" customFormat="false" ht="15" hidden="false" customHeight="false" outlineLevel="0" collapsed="false">
      <c r="A445" s="2" t="n">
        <v>444</v>
      </c>
      <c r="B445" s="3" t="s">
        <v>98</v>
      </c>
      <c r="C445" s="3" t="s">
        <v>94</v>
      </c>
      <c r="D445" s="3" t="s">
        <v>19</v>
      </c>
      <c r="E445" s="3" t="s">
        <v>16</v>
      </c>
      <c r="F445" s="3" t="s">
        <v>23</v>
      </c>
      <c r="G445" s="3" t="s">
        <v>30</v>
      </c>
      <c r="H445" s="2" t="n">
        <v>7</v>
      </c>
      <c r="I445" s="2" t="n">
        <v>1</v>
      </c>
      <c r="J445" s="4" t="n">
        <v>1099.96</v>
      </c>
      <c r="K445" s="4" t="n">
        <v>145.79</v>
      </c>
      <c r="L445" s="5" t="n">
        <f aca="false">IF(H445=0,0,I445/H445)</f>
        <v>0.142857142857143</v>
      </c>
      <c r="M445" s="6" t="n">
        <f aca="false">IF(I445=0,0,J445/I445)</f>
        <v>1099.96</v>
      </c>
    </row>
    <row r="446" customFormat="false" ht="15" hidden="false" customHeight="false" outlineLevel="0" collapsed="false">
      <c r="A446" s="2" t="n">
        <v>445</v>
      </c>
      <c r="B446" s="3" t="s">
        <v>98</v>
      </c>
      <c r="C446" s="3" t="s">
        <v>94</v>
      </c>
      <c r="D446" s="3" t="s">
        <v>19</v>
      </c>
      <c r="E446" s="3" t="s">
        <v>33</v>
      </c>
      <c r="F446" s="3" t="s">
        <v>23</v>
      </c>
      <c r="G446" s="3" t="s">
        <v>30</v>
      </c>
      <c r="H446" s="2" t="n">
        <v>8</v>
      </c>
      <c r="I446" s="2" t="n">
        <v>2</v>
      </c>
      <c r="J446" s="4" t="n">
        <v>2043.14</v>
      </c>
      <c r="K446" s="4" t="n">
        <v>264.46</v>
      </c>
      <c r="L446" s="5" t="n">
        <f aca="false">IF(H446=0,0,I446/H446)</f>
        <v>0.25</v>
      </c>
      <c r="M446" s="6" t="n">
        <f aca="false">IF(I446=0,0,J446/I446)</f>
        <v>1021.57</v>
      </c>
    </row>
    <row r="447" customFormat="false" ht="15" hidden="false" customHeight="false" outlineLevel="0" collapsed="false">
      <c r="A447" s="2" t="n">
        <v>446</v>
      </c>
      <c r="B447" s="3" t="s">
        <v>99</v>
      </c>
      <c r="C447" s="3" t="s">
        <v>94</v>
      </c>
      <c r="D447" s="3" t="s">
        <v>27</v>
      </c>
      <c r="E447" s="3" t="s">
        <v>25</v>
      </c>
      <c r="F447" s="3" t="s">
        <v>29</v>
      </c>
      <c r="G447" s="3" t="s">
        <v>30</v>
      </c>
      <c r="H447" s="2" t="n">
        <v>12</v>
      </c>
      <c r="I447" s="2" t="n">
        <v>1</v>
      </c>
      <c r="J447" s="4" t="n">
        <v>1840.34</v>
      </c>
      <c r="K447" s="4" t="n">
        <v>307.3</v>
      </c>
      <c r="L447" s="5" t="n">
        <f aca="false">IF(H447=0,0,I447/H447)</f>
        <v>0.0833333333333333</v>
      </c>
      <c r="M447" s="6" t="n">
        <f aca="false">IF(I447=0,0,J447/I447)</f>
        <v>1840.34</v>
      </c>
    </row>
    <row r="448" customFormat="false" ht="15" hidden="false" customHeight="false" outlineLevel="0" collapsed="false">
      <c r="A448" s="2" t="n">
        <v>447</v>
      </c>
      <c r="B448" s="3" t="s">
        <v>99</v>
      </c>
      <c r="C448" s="3" t="s">
        <v>94</v>
      </c>
      <c r="D448" s="3" t="s">
        <v>15</v>
      </c>
      <c r="E448" s="3" t="s">
        <v>28</v>
      </c>
      <c r="F448" s="3" t="s">
        <v>17</v>
      </c>
      <c r="G448" s="3" t="s">
        <v>30</v>
      </c>
      <c r="H448" s="2" t="n">
        <v>4</v>
      </c>
      <c r="I448" s="2" t="n">
        <v>1</v>
      </c>
      <c r="J448" s="4" t="n">
        <v>236.97</v>
      </c>
      <c r="K448" s="4" t="n">
        <v>69.05</v>
      </c>
      <c r="L448" s="5" t="n">
        <f aca="false">IF(H448=0,0,I448/H448)</f>
        <v>0.25</v>
      </c>
      <c r="M448" s="6" t="n">
        <f aca="false">IF(I448=0,0,J448/I448)</f>
        <v>236.97</v>
      </c>
    </row>
    <row r="449" customFormat="false" ht="15" hidden="false" customHeight="false" outlineLevel="0" collapsed="false">
      <c r="A449" s="2" t="n">
        <v>448</v>
      </c>
      <c r="B449" s="3" t="s">
        <v>99</v>
      </c>
      <c r="C449" s="3" t="s">
        <v>94</v>
      </c>
      <c r="D449" s="3" t="s">
        <v>24</v>
      </c>
      <c r="E449" s="3" t="s">
        <v>16</v>
      </c>
      <c r="F449" s="3" t="s">
        <v>20</v>
      </c>
      <c r="G449" s="3" t="s">
        <v>30</v>
      </c>
      <c r="H449" s="2" t="n">
        <v>7</v>
      </c>
      <c r="I449" s="2" t="n">
        <v>3</v>
      </c>
      <c r="J449" s="4" t="n">
        <v>1074.27</v>
      </c>
      <c r="K449" s="4" t="n">
        <v>255.22</v>
      </c>
      <c r="L449" s="5" t="n">
        <f aca="false">IF(H449=0,0,I449/H449)</f>
        <v>0.428571428571429</v>
      </c>
      <c r="M449" s="6" t="n">
        <f aca="false">IF(I449=0,0,J449/I449)</f>
        <v>358.09</v>
      </c>
    </row>
    <row r="450" customFormat="false" ht="15" hidden="false" customHeight="false" outlineLevel="0" collapsed="false">
      <c r="A450" s="2" t="n">
        <v>449</v>
      </c>
      <c r="B450" s="3" t="s">
        <v>99</v>
      </c>
      <c r="C450" s="3" t="s">
        <v>94</v>
      </c>
      <c r="D450" s="3" t="s">
        <v>24</v>
      </c>
      <c r="E450" s="3" t="s">
        <v>16</v>
      </c>
      <c r="F450" s="3" t="s">
        <v>29</v>
      </c>
      <c r="G450" s="3" t="s">
        <v>34</v>
      </c>
      <c r="H450" s="2" t="n">
        <v>10</v>
      </c>
      <c r="I450" s="2" t="n">
        <v>2</v>
      </c>
      <c r="J450" s="4" t="n">
        <v>611.98</v>
      </c>
      <c r="K450" s="4" t="n">
        <v>142.13</v>
      </c>
      <c r="L450" s="5" t="n">
        <f aca="false">IF(H450=0,0,I450/H450)</f>
        <v>0.2</v>
      </c>
      <c r="M450" s="6" t="n">
        <f aca="false">IF(I450=0,0,J450/I450)</f>
        <v>305.99</v>
      </c>
    </row>
    <row r="451" customFormat="false" ht="15" hidden="false" customHeight="false" outlineLevel="0" collapsed="false">
      <c r="A451" s="2" t="n">
        <v>450</v>
      </c>
      <c r="B451" s="3" t="s">
        <v>99</v>
      </c>
      <c r="C451" s="3" t="s">
        <v>94</v>
      </c>
      <c r="D451" s="3" t="s">
        <v>19</v>
      </c>
      <c r="E451" s="3" t="s">
        <v>25</v>
      </c>
      <c r="F451" s="3" t="s">
        <v>23</v>
      </c>
      <c r="G451" s="3" t="s">
        <v>21</v>
      </c>
      <c r="H451" s="2" t="n">
        <v>7</v>
      </c>
      <c r="I451" s="2" t="n">
        <v>2</v>
      </c>
      <c r="J451" s="4" t="n">
        <v>1807.28</v>
      </c>
      <c r="K451" s="4" t="n">
        <v>265.65</v>
      </c>
      <c r="L451" s="5" t="n">
        <f aca="false">IF(H451=0,0,I451/H451)</f>
        <v>0.285714285714286</v>
      </c>
      <c r="M451" s="6" t="n">
        <f aca="false">IF(I451=0,0,J451/I451)</f>
        <v>903.64</v>
      </c>
    </row>
    <row r="452" customFormat="false" ht="15" hidden="false" customHeight="false" outlineLevel="0" collapsed="false">
      <c r="A452" s="2" t="n">
        <v>451</v>
      </c>
      <c r="B452" s="3" t="s">
        <v>99</v>
      </c>
      <c r="C452" s="3" t="s">
        <v>94</v>
      </c>
      <c r="D452" s="3" t="s">
        <v>15</v>
      </c>
      <c r="E452" s="3" t="s">
        <v>16</v>
      </c>
      <c r="F452" s="3" t="s">
        <v>23</v>
      </c>
      <c r="G452" s="3" t="s">
        <v>31</v>
      </c>
      <c r="H452" s="2" t="n">
        <v>7</v>
      </c>
      <c r="I452" s="2" t="n">
        <v>2</v>
      </c>
      <c r="J452" s="4" t="n">
        <v>371.77</v>
      </c>
      <c r="K452" s="4" t="n">
        <v>116.26</v>
      </c>
      <c r="L452" s="5" t="n">
        <f aca="false">IF(H452=0,0,I452/H452)</f>
        <v>0.285714285714286</v>
      </c>
      <c r="M452" s="6" t="n">
        <f aca="false">IF(I452=0,0,J452/I452)</f>
        <v>185.885</v>
      </c>
    </row>
    <row r="453" customFormat="false" ht="15" hidden="false" customHeight="false" outlineLevel="0" collapsed="false">
      <c r="A453" s="2" t="n">
        <v>452</v>
      </c>
      <c r="B453" s="3" t="s">
        <v>99</v>
      </c>
      <c r="C453" s="3" t="s">
        <v>94</v>
      </c>
      <c r="D453" s="3" t="s">
        <v>19</v>
      </c>
      <c r="E453" s="3" t="s">
        <v>16</v>
      </c>
      <c r="F453" s="3" t="s">
        <v>17</v>
      </c>
      <c r="G453" s="3" t="s">
        <v>21</v>
      </c>
      <c r="H453" s="2" t="n">
        <v>6</v>
      </c>
      <c r="I453" s="2" t="n">
        <v>1</v>
      </c>
      <c r="J453" s="4" t="n">
        <v>863.03</v>
      </c>
      <c r="K453" s="4" t="n">
        <v>112.97</v>
      </c>
      <c r="L453" s="5" t="n">
        <f aca="false">IF(H453=0,0,I453/H453)</f>
        <v>0.166666666666667</v>
      </c>
      <c r="M453" s="6" t="n">
        <f aca="false">IF(I453=0,0,J453/I453)</f>
        <v>863.03</v>
      </c>
    </row>
    <row r="454" customFormat="false" ht="15" hidden="false" customHeight="false" outlineLevel="0" collapsed="false">
      <c r="A454" s="2" t="n">
        <v>453</v>
      </c>
      <c r="B454" s="3" t="s">
        <v>99</v>
      </c>
      <c r="C454" s="3" t="s">
        <v>94</v>
      </c>
      <c r="D454" s="3" t="s">
        <v>15</v>
      </c>
      <c r="E454" s="3" t="s">
        <v>33</v>
      </c>
      <c r="F454" s="3" t="s">
        <v>23</v>
      </c>
      <c r="G454" s="3" t="s">
        <v>30</v>
      </c>
      <c r="H454" s="2" t="n">
        <v>9</v>
      </c>
      <c r="I454" s="2" t="n">
        <v>3</v>
      </c>
      <c r="J454" s="4" t="n">
        <v>458.85</v>
      </c>
      <c r="K454" s="4" t="n">
        <v>127.38</v>
      </c>
      <c r="L454" s="5" t="n">
        <f aca="false">IF(H454=0,0,I454/H454)</f>
        <v>0.333333333333333</v>
      </c>
      <c r="M454" s="6" t="n">
        <f aca="false">IF(I454=0,0,J454/I454)</f>
        <v>152.95</v>
      </c>
    </row>
    <row r="455" customFormat="false" ht="15" hidden="false" customHeight="false" outlineLevel="0" collapsed="false">
      <c r="A455" s="2" t="n">
        <v>454</v>
      </c>
      <c r="B455" s="3" t="s">
        <v>100</v>
      </c>
      <c r="C455" s="3" t="s">
        <v>94</v>
      </c>
      <c r="D455" s="3" t="s">
        <v>22</v>
      </c>
      <c r="E455" s="3" t="s">
        <v>16</v>
      </c>
      <c r="F455" s="3" t="s">
        <v>23</v>
      </c>
      <c r="G455" s="3" t="s">
        <v>31</v>
      </c>
      <c r="H455" s="2" t="n">
        <v>6</v>
      </c>
      <c r="I455" s="2" t="n">
        <v>4</v>
      </c>
      <c r="J455" s="4" t="n">
        <v>506.27</v>
      </c>
      <c r="K455" s="4" t="n">
        <v>227.29</v>
      </c>
      <c r="L455" s="5" t="n">
        <f aca="false">IF(H455=0,0,I455/H455)</f>
        <v>0.666666666666667</v>
      </c>
      <c r="M455" s="6" t="n">
        <f aca="false">IF(I455=0,0,J455/I455)</f>
        <v>126.5675</v>
      </c>
    </row>
    <row r="456" customFormat="false" ht="15" hidden="false" customHeight="false" outlineLevel="0" collapsed="false">
      <c r="A456" s="2" t="n">
        <v>455</v>
      </c>
      <c r="B456" s="3" t="s">
        <v>100</v>
      </c>
      <c r="C456" s="3" t="s">
        <v>94</v>
      </c>
      <c r="D456" s="3" t="s">
        <v>19</v>
      </c>
      <c r="E456" s="3" t="s">
        <v>33</v>
      </c>
      <c r="F456" s="3" t="s">
        <v>17</v>
      </c>
      <c r="G456" s="3" t="s">
        <v>30</v>
      </c>
      <c r="H456" s="2" t="n">
        <v>5</v>
      </c>
      <c r="I456" s="2" t="n">
        <v>1</v>
      </c>
      <c r="J456" s="4" t="n">
        <v>678.44</v>
      </c>
      <c r="K456" s="4" t="n">
        <v>97.02</v>
      </c>
      <c r="L456" s="5" t="n">
        <f aca="false">IF(H456=0,0,I456/H456)</f>
        <v>0.2</v>
      </c>
      <c r="M456" s="6" t="n">
        <f aca="false">IF(I456=0,0,J456/I456)</f>
        <v>678.44</v>
      </c>
    </row>
    <row r="457" customFormat="false" ht="15" hidden="false" customHeight="false" outlineLevel="0" collapsed="false">
      <c r="A457" s="2" t="n">
        <v>456</v>
      </c>
      <c r="B457" s="3" t="s">
        <v>100</v>
      </c>
      <c r="C457" s="3" t="s">
        <v>94</v>
      </c>
      <c r="D457" s="3" t="s">
        <v>27</v>
      </c>
      <c r="E457" s="3" t="s">
        <v>16</v>
      </c>
      <c r="F457" s="3" t="s">
        <v>20</v>
      </c>
      <c r="G457" s="3" t="s">
        <v>30</v>
      </c>
      <c r="H457" s="2" t="n">
        <v>6</v>
      </c>
      <c r="I457" s="2" t="n">
        <v>0</v>
      </c>
      <c r="J457" s="4" t="n">
        <v>0</v>
      </c>
      <c r="K457" s="4" t="n">
        <v>0</v>
      </c>
      <c r="L457" s="5" t="n">
        <f aca="false">IF(H457=0,0,I457/H457)</f>
        <v>0</v>
      </c>
      <c r="M457" s="6" t="n">
        <f aca="false">IF(I457=0,0,J457/I457)</f>
        <v>0</v>
      </c>
    </row>
    <row r="458" customFormat="false" ht="15" hidden="false" customHeight="false" outlineLevel="0" collapsed="false">
      <c r="A458" s="2" t="n">
        <v>457</v>
      </c>
      <c r="B458" s="3" t="s">
        <v>100</v>
      </c>
      <c r="C458" s="3" t="s">
        <v>94</v>
      </c>
      <c r="D458" s="3" t="s">
        <v>22</v>
      </c>
      <c r="E458" s="3" t="s">
        <v>33</v>
      </c>
      <c r="F458" s="3" t="s">
        <v>17</v>
      </c>
      <c r="G458" s="3" t="s">
        <v>30</v>
      </c>
      <c r="H458" s="2" t="n">
        <v>7</v>
      </c>
      <c r="I458" s="2" t="n">
        <v>2</v>
      </c>
      <c r="J458" s="4" t="n">
        <v>267.04</v>
      </c>
      <c r="K458" s="4" t="n">
        <v>114.39</v>
      </c>
      <c r="L458" s="5" t="n">
        <f aca="false">IF(H458=0,0,I458/H458)</f>
        <v>0.285714285714286</v>
      </c>
      <c r="M458" s="6" t="n">
        <f aca="false">IF(I458=0,0,J458/I458)</f>
        <v>133.52</v>
      </c>
    </row>
    <row r="459" customFormat="false" ht="15" hidden="false" customHeight="false" outlineLevel="0" collapsed="false">
      <c r="A459" s="2" t="n">
        <v>458</v>
      </c>
      <c r="B459" s="3" t="s">
        <v>101</v>
      </c>
      <c r="C459" s="3" t="s">
        <v>94</v>
      </c>
      <c r="D459" s="3" t="s">
        <v>15</v>
      </c>
      <c r="E459" s="3" t="s">
        <v>25</v>
      </c>
      <c r="F459" s="3" t="s">
        <v>29</v>
      </c>
      <c r="G459" s="3" t="s">
        <v>34</v>
      </c>
      <c r="H459" s="2" t="n">
        <v>11</v>
      </c>
      <c r="I459" s="2" t="n">
        <v>2</v>
      </c>
      <c r="J459" s="4" t="n">
        <v>463.16</v>
      </c>
      <c r="K459" s="4" t="n">
        <v>138.95</v>
      </c>
      <c r="L459" s="5" t="n">
        <f aca="false">IF(H459=0,0,I459/H459)</f>
        <v>0.181818181818182</v>
      </c>
      <c r="M459" s="6" t="n">
        <f aca="false">IF(I459=0,0,J459/I459)</f>
        <v>231.58</v>
      </c>
    </row>
    <row r="460" customFormat="false" ht="15" hidden="false" customHeight="false" outlineLevel="0" collapsed="false">
      <c r="A460" s="2" t="n">
        <v>459</v>
      </c>
      <c r="B460" s="3" t="s">
        <v>101</v>
      </c>
      <c r="C460" s="3" t="s">
        <v>94</v>
      </c>
      <c r="D460" s="3" t="s">
        <v>24</v>
      </c>
      <c r="E460" s="3" t="s">
        <v>25</v>
      </c>
      <c r="F460" s="3" t="s">
        <v>23</v>
      </c>
      <c r="G460" s="3" t="s">
        <v>34</v>
      </c>
      <c r="H460" s="2" t="n">
        <v>2</v>
      </c>
      <c r="I460" s="2" t="n">
        <v>1</v>
      </c>
      <c r="J460" s="4" t="n">
        <v>235.34</v>
      </c>
      <c r="K460" s="4" t="n">
        <v>56.33</v>
      </c>
      <c r="L460" s="5" t="n">
        <f aca="false">IF(H460=0,0,I460/H460)</f>
        <v>0.5</v>
      </c>
      <c r="M460" s="6" t="n">
        <f aca="false">IF(I460=0,0,J460/I460)</f>
        <v>235.34</v>
      </c>
    </row>
    <row r="461" customFormat="false" ht="15" hidden="false" customHeight="false" outlineLevel="0" collapsed="false">
      <c r="A461" s="2" t="n">
        <v>460</v>
      </c>
      <c r="B461" s="3" t="s">
        <v>102</v>
      </c>
      <c r="C461" s="3" t="s">
        <v>94</v>
      </c>
      <c r="D461" s="3" t="s">
        <v>19</v>
      </c>
      <c r="E461" s="3" t="s">
        <v>33</v>
      </c>
      <c r="F461" s="3" t="s">
        <v>17</v>
      </c>
      <c r="G461" s="3" t="s">
        <v>18</v>
      </c>
      <c r="H461" s="2" t="n">
        <v>9</v>
      </c>
      <c r="I461" s="2" t="n">
        <v>2</v>
      </c>
      <c r="J461" s="4" t="n">
        <v>2166.28</v>
      </c>
      <c r="K461" s="4" t="n">
        <v>305.27</v>
      </c>
      <c r="L461" s="5" t="n">
        <f aca="false">IF(H461=0,0,I461/H461)</f>
        <v>0.222222222222222</v>
      </c>
      <c r="M461" s="6" t="n">
        <f aca="false">IF(I461=0,0,J461/I461)</f>
        <v>1083.14</v>
      </c>
    </row>
    <row r="462" customFormat="false" ht="15" hidden="false" customHeight="false" outlineLevel="0" collapsed="false">
      <c r="A462" s="2" t="n">
        <v>461</v>
      </c>
      <c r="B462" s="3" t="s">
        <v>102</v>
      </c>
      <c r="C462" s="3" t="s">
        <v>94</v>
      </c>
      <c r="D462" s="3" t="s">
        <v>15</v>
      </c>
      <c r="E462" s="3" t="s">
        <v>25</v>
      </c>
      <c r="F462" s="3" t="s">
        <v>17</v>
      </c>
      <c r="G462" s="3" t="s">
        <v>18</v>
      </c>
      <c r="H462" s="2" t="n">
        <v>5</v>
      </c>
      <c r="I462" s="2" t="n">
        <v>2</v>
      </c>
      <c r="J462" s="4" t="n">
        <v>318.08</v>
      </c>
      <c r="K462" s="4" t="n">
        <v>94.75</v>
      </c>
      <c r="L462" s="5" t="n">
        <f aca="false">IF(H462=0,0,I462/H462)</f>
        <v>0.4</v>
      </c>
      <c r="M462" s="6" t="n">
        <f aca="false">IF(I462=0,0,J462/I462)</f>
        <v>159.04</v>
      </c>
    </row>
    <row r="463" customFormat="false" ht="15" hidden="false" customHeight="false" outlineLevel="0" collapsed="false">
      <c r="A463" s="2" t="n">
        <v>462</v>
      </c>
      <c r="B463" s="3" t="s">
        <v>102</v>
      </c>
      <c r="C463" s="3" t="s">
        <v>94</v>
      </c>
      <c r="D463" s="3" t="s">
        <v>24</v>
      </c>
      <c r="E463" s="3" t="s">
        <v>33</v>
      </c>
      <c r="F463" s="3" t="s">
        <v>23</v>
      </c>
      <c r="G463" s="3" t="s">
        <v>30</v>
      </c>
      <c r="H463" s="2" t="n">
        <v>7</v>
      </c>
      <c r="I463" s="2" t="n">
        <v>3</v>
      </c>
      <c r="J463" s="4" t="n">
        <v>684.68</v>
      </c>
      <c r="K463" s="4" t="n">
        <v>175.16</v>
      </c>
      <c r="L463" s="5" t="n">
        <f aca="false">IF(H463=0,0,I463/H463)</f>
        <v>0.428571428571429</v>
      </c>
      <c r="M463" s="6" t="n">
        <f aca="false">IF(I463=0,0,J463/I463)</f>
        <v>228.226666666667</v>
      </c>
    </row>
    <row r="464" customFormat="false" ht="15" hidden="false" customHeight="false" outlineLevel="0" collapsed="false">
      <c r="A464" s="2" t="n">
        <v>463</v>
      </c>
      <c r="B464" s="3" t="s">
        <v>102</v>
      </c>
      <c r="C464" s="3" t="s">
        <v>94</v>
      </c>
      <c r="D464" s="3" t="s">
        <v>19</v>
      </c>
      <c r="E464" s="3" t="s">
        <v>33</v>
      </c>
      <c r="F464" s="3" t="s">
        <v>23</v>
      </c>
      <c r="G464" s="3" t="s">
        <v>31</v>
      </c>
      <c r="H464" s="2" t="n">
        <v>4</v>
      </c>
      <c r="I464" s="2" t="n">
        <v>0</v>
      </c>
      <c r="J464" s="4" t="n">
        <v>0</v>
      </c>
      <c r="K464" s="4" t="n">
        <v>0</v>
      </c>
      <c r="L464" s="5" t="n">
        <f aca="false">IF(H464=0,0,I464/H464)</f>
        <v>0</v>
      </c>
      <c r="M464" s="6" t="n">
        <f aca="false">IF(I464=0,0,J464/I464)</f>
        <v>0</v>
      </c>
    </row>
    <row r="465" customFormat="false" ht="15" hidden="false" customHeight="false" outlineLevel="0" collapsed="false">
      <c r="A465" s="2" t="n">
        <v>464</v>
      </c>
      <c r="B465" s="3" t="s">
        <v>102</v>
      </c>
      <c r="C465" s="3" t="s">
        <v>94</v>
      </c>
      <c r="D465" s="3" t="s">
        <v>22</v>
      </c>
      <c r="E465" s="3" t="s">
        <v>28</v>
      </c>
      <c r="F465" s="3" t="s">
        <v>23</v>
      </c>
      <c r="G465" s="3" t="s">
        <v>21</v>
      </c>
      <c r="H465" s="2" t="n">
        <v>7</v>
      </c>
      <c r="I465" s="2" t="n">
        <v>2</v>
      </c>
      <c r="J465" s="4" t="n">
        <v>209.6</v>
      </c>
      <c r="K465" s="4" t="n">
        <v>86.46</v>
      </c>
      <c r="L465" s="5" t="n">
        <f aca="false">IF(H465=0,0,I465/H465)</f>
        <v>0.285714285714286</v>
      </c>
      <c r="M465" s="6" t="n">
        <f aca="false">IF(I465=0,0,J465/I465)</f>
        <v>104.8</v>
      </c>
    </row>
    <row r="466" customFormat="false" ht="15" hidden="false" customHeight="false" outlineLevel="0" collapsed="false">
      <c r="A466" s="2" t="n">
        <v>465</v>
      </c>
      <c r="B466" s="3" t="s">
        <v>103</v>
      </c>
      <c r="C466" s="3" t="s">
        <v>94</v>
      </c>
      <c r="D466" s="3" t="s">
        <v>19</v>
      </c>
      <c r="E466" s="3" t="s">
        <v>33</v>
      </c>
      <c r="F466" s="3" t="s">
        <v>23</v>
      </c>
      <c r="G466" s="3" t="s">
        <v>31</v>
      </c>
      <c r="H466" s="2" t="n">
        <v>7</v>
      </c>
      <c r="I466" s="2" t="n">
        <v>1</v>
      </c>
      <c r="J466" s="4" t="n">
        <v>774.15</v>
      </c>
      <c r="K466" s="4" t="n">
        <v>113.78</v>
      </c>
      <c r="L466" s="5" t="n">
        <f aca="false">IF(H466=0,0,I466/H466)</f>
        <v>0.142857142857143</v>
      </c>
      <c r="M466" s="6" t="n">
        <f aca="false">IF(I466=0,0,J466/I466)</f>
        <v>774.15</v>
      </c>
    </row>
    <row r="467" customFormat="false" ht="15" hidden="false" customHeight="false" outlineLevel="0" collapsed="false">
      <c r="A467" s="2" t="n">
        <v>466</v>
      </c>
      <c r="B467" s="3" t="s">
        <v>103</v>
      </c>
      <c r="C467" s="3" t="s">
        <v>94</v>
      </c>
      <c r="D467" s="3" t="s">
        <v>19</v>
      </c>
      <c r="E467" s="3" t="s">
        <v>33</v>
      </c>
      <c r="F467" s="3" t="s">
        <v>20</v>
      </c>
      <c r="G467" s="3" t="s">
        <v>26</v>
      </c>
      <c r="H467" s="2" t="n">
        <v>1</v>
      </c>
      <c r="I467" s="2" t="n">
        <v>0</v>
      </c>
      <c r="J467" s="4" t="n">
        <v>0</v>
      </c>
      <c r="K467" s="4" t="n">
        <v>0</v>
      </c>
      <c r="L467" s="5" t="n">
        <f aca="false">IF(H467=0,0,I467/H467)</f>
        <v>0</v>
      </c>
      <c r="M467" s="6" t="n">
        <f aca="false">IF(I467=0,0,J467/I467)</f>
        <v>0</v>
      </c>
    </row>
    <row r="468" customFormat="false" ht="15" hidden="false" customHeight="false" outlineLevel="0" collapsed="false">
      <c r="A468" s="2" t="n">
        <v>467</v>
      </c>
      <c r="B468" s="3" t="s">
        <v>103</v>
      </c>
      <c r="C468" s="3" t="s">
        <v>94</v>
      </c>
      <c r="D468" s="3" t="s">
        <v>19</v>
      </c>
      <c r="E468" s="3" t="s">
        <v>25</v>
      </c>
      <c r="F468" s="3" t="s">
        <v>20</v>
      </c>
      <c r="G468" s="3" t="s">
        <v>18</v>
      </c>
      <c r="H468" s="2" t="n">
        <v>4</v>
      </c>
      <c r="I468" s="2" t="n">
        <v>1</v>
      </c>
      <c r="J468" s="4" t="n">
        <v>681.93</v>
      </c>
      <c r="K468" s="4" t="n">
        <v>89.28</v>
      </c>
      <c r="L468" s="5" t="n">
        <f aca="false">IF(H468=0,0,I468/H468)</f>
        <v>0.25</v>
      </c>
      <c r="M468" s="6" t="n">
        <f aca="false">IF(I468=0,0,J468/I468)</f>
        <v>681.93</v>
      </c>
    </row>
    <row r="469" customFormat="false" ht="15" hidden="false" customHeight="false" outlineLevel="0" collapsed="false">
      <c r="A469" s="2" t="n">
        <v>468</v>
      </c>
      <c r="B469" s="3" t="s">
        <v>103</v>
      </c>
      <c r="C469" s="3" t="s">
        <v>94</v>
      </c>
      <c r="D469" s="3" t="s">
        <v>15</v>
      </c>
      <c r="E469" s="3" t="s">
        <v>16</v>
      </c>
      <c r="F469" s="3" t="s">
        <v>17</v>
      </c>
      <c r="G469" s="3" t="s">
        <v>30</v>
      </c>
      <c r="H469" s="2" t="n">
        <v>6</v>
      </c>
      <c r="I469" s="2" t="n">
        <v>0</v>
      </c>
      <c r="J469" s="4" t="n">
        <v>0</v>
      </c>
      <c r="K469" s="4" t="n">
        <v>0</v>
      </c>
      <c r="L469" s="5" t="n">
        <f aca="false">IF(H469=0,0,I469/H469)</f>
        <v>0</v>
      </c>
      <c r="M469" s="6" t="n">
        <f aca="false">IF(I469=0,0,J469/I469)</f>
        <v>0</v>
      </c>
    </row>
    <row r="470" customFormat="false" ht="15" hidden="false" customHeight="false" outlineLevel="0" collapsed="false">
      <c r="A470" s="2" t="n">
        <v>469</v>
      </c>
      <c r="B470" s="3" t="s">
        <v>103</v>
      </c>
      <c r="C470" s="3" t="s">
        <v>94</v>
      </c>
      <c r="D470" s="3" t="s">
        <v>27</v>
      </c>
      <c r="E470" s="3" t="s">
        <v>28</v>
      </c>
      <c r="F470" s="3" t="s">
        <v>29</v>
      </c>
      <c r="G470" s="3" t="s">
        <v>26</v>
      </c>
      <c r="H470" s="2" t="n">
        <v>6</v>
      </c>
      <c r="I470" s="2" t="n">
        <v>1</v>
      </c>
      <c r="J470" s="4" t="n">
        <v>1207.37</v>
      </c>
      <c r="K470" s="4" t="n">
        <v>201.28</v>
      </c>
      <c r="L470" s="5" t="n">
        <f aca="false">IF(H470=0,0,I470/H470)</f>
        <v>0.166666666666667</v>
      </c>
      <c r="M470" s="6" t="n">
        <f aca="false">IF(I470=0,0,J470/I470)</f>
        <v>1207.37</v>
      </c>
    </row>
    <row r="471" customFormat="false" ht="15" hidden="false" customHeight="false" outlineLevel="0" collapsed="false">
      <c r="A471" s="2" t="n">
        <v>470</v>
      </c>
      <c r="B471" s="3" t="s">
        <v>103</v>
      </c>
      <c r="C471" s="3" t="s">
        <v>94</v>
      </c>
      <c r="D471" s="3" t="s">
        <v>15</v>
      </c>
      <c r="E471" s="3" t="s">
        <v>16</v>
      </c>
      <c r="F471" s="3" t="s">
        <v>23</v>
      </c>
      <c r="G471" s="3" t="s">
        <v>18</v>
      </c>
      <c r="H471" s="2" t="n">
        <v>5</v>
      </c>
      <c r="I471" s="2" t="n">
        <v>0</v>
      </c>
      <c r="J471" s="4" t="n">
        <v>0</v>
      </c>
      <c r="K471" s="4" t="n">
        <v>0</v>
      </c>
      <c r="L471" s="5" t="n">
        <f aca="false">IF(H471=0,0,I471/H471)</f>
        <v>0</v>
      </c>
      <c r="M471" s="6" t="n">
        <f aca="false">IF(I471=0,0,J471/I471)</f>
        <v>0</v>
      </c>
    </row>
    <row r="472" customFormat="false" ht="15" hidden="false" customHeight="false" outlineLevel="0" collapsed="false">
      <c r="A472" s="2" t="n">
        <v>471</v>
      </c>
      <c r="B472" s="3" t="s">
        <v>103</v>
      </c>
      <c r="C472" s="3" t="s">
        <v>94</v>
      </c>
      <c r="D472" s="3" t="s">
        <v>19</v>
      </c>
      <c r="E472" s="3" t="s">
        <v>28</v>
      </c>
      <c r="F472" s="3" t="s">
        <v>23</v>
      </c>
      <c r="G472" s="3" t="s">
        <v>34</v>
      </c>
      <c r="H472" s="2" t="n">
        <v>8</v>
      </c>
      <c r="I472" s="2" t="n">
        <v>1</v>
      </c>
      <c r="J472" s="4" t="n">
        <v>1007.85</v>
      </c>
      <c r="K472" s="4" t="n">
        <v>148.74</v>
      </c>
      <c r="L472" s="5" t="n">
        <f aca="false">IF(H472=0,0,I472/H472)</f>
        <v>0.125</v>
      </c>
      <c r="M472" s="6" t="n">
        <f aca="false">IF(I472=0,0,J472/I472)</f>
        <v>1007.85</v>
      </c>
    </row>
    <row r="473" customFormat="false" ht="15" hidden="false" customHeight="false" outlineLevel="0" collapsed="false">
      <c r="A473" s="2" t="n">
        <v>472</v>
      </c>
      <c r="B473" s="3" t="s">
        <v>103</v>
      </c>
      <c r="C473" s="3" t="s">
        <v>94</v>
      </c>
      <c r="D473" s="3" t="s">
        <v>24</v>
      </c>
      <c r="E473" s="3" t="s">
        <v>16</v>
      </c>
      <c r="F473" s="3" t="s">
        <v>23</v>
      </c>
      <c r="G473" s="3" t="s">
        <v>21</v>
      </c>
      <c r="H473" s="2" t="n">
        <v>9</v>
      </c>
      <c r="I473" s="2" t="n">
        <v>2</v>
      </c>
      <c r="J473" s="4" t="n">
        <v>439.23</v>
      </c>
      <c r="K473" s="4" t="n">
        <v>115.45</v>
      </c>
      <c r="L473" s="5" t="n">
        <f aca="false">IF(H473=0,0,I473/H473)</f>
        <v>0.222222222222222</v>
      </c>
      <c r="M473" s="6" t="n">
        <f aca="false">IF(I473=0,0,J473/I473)</f>
        <v>219.615</v>
      </c>
    </row>
    <row r="474" customFormat="false" ht="15" hidden="false" customHeight="false" outlineLevel="0" collapsed="false">
      <c r="A474" s="2" t="n">
        <v>473</v>
      </c>
      <c r="B474" s="3" t="s">
        <v>103</v>
      </c>
      <c r="C474" s="3" t="s">
        <v>94</v>
      </c>
      <c r="D474" s="3" t="s">
        <v>19</v>
      </c>
      <c r="E474" s="3" t="s">
        <v>33</v>
      </c>
      <c r="F474" s="3" t="s">
        <v>23</v>
      </c>
      <c r="G474" s="3" t="s">
        <v>30</v>
      </c>
      <c r="H474" s="2" t="n">
        <v>12</v>
      </c>
      <c r="I474" s="2" t="n">
        <v>2</v>
      </c>
      <c r="J474" s="4" t="n">
        <v>2047.51</v>
      </c>
      <c r="K474" s="4" t="n">
        <v>274.16</v>
      </c>
      <c r="L474" s="5" t="n">
        <f aca="false">IF(H474=0,0,I474/H474)</f>
        <v>0.166666666666667</v>
      </c>
      <c r="M474" s="6" t="n">
        <f aca="false">IF(I474=0,0,J474/I474)</f>
        <v>1023.755</v>
      </c>
    </row>
    <row r="475" customFormat="false" ht="15" hidden="false" customHeight="false" outlineLevel="0" collapsed="false">
      <c r="A475" s="2" t="n">
        <v>474</v>
      </c>
      <c r="B475" s="3" t="s">
        <v>103</v>
      </c>
      <c r="C475" s="3" t="s">
        <v>94</v>
      </c>
      <c r="D475" s="3" t="s">
        <v>24</v>
      </c>
      <c r="E475" s="3" t="s">
        <v>33</v>
      </c>
      <c r="F475" s="3" t="s">
        <v>23</v>
      </c>
      <c r="G475" s="3" t="s">
        <v>21</v>
      </c>
      <c r="H475" s="2" t="n">
        <v>11</v>
      </c>
      <c r="I475" s="2" t="n">
        <v>3</v>
      </c>
      <c r="J475" s="4" t="n">
        <v>1002.28</v>
      </c>
      <c r="K475" s="4" t="n">
        <v>241.4</v>
      </c>
      <c r="L475" s="5" t="n">
        <f aca="false">IF(H475=0,0,I475/H475)</f>
        <v>0.272727272727273</v>
      </c>
      <c r="M475" s="6" t="n">
        <f aca="false">IF(I475=0,0,J475/I475)</f>
        <v>334.093333333333</v>
      </c>
    </row>
    <row r="476" customFormat="false" ht="15" hidden="false" customHeight="false" outlineLevel="0" collapsed="false">
      <c r="A476" s="2" t="n">
        <v>475</v>
      </c>
      <c r="B476" s="3" t="s">
        <v>103</v>
      </c>
      <c r="C476" s="3" t="s">
        <v>94</v>
      </c>
      <c r="D476" s="3" t="s">
        <v>22</v>
      </c>
      <c r="E476" s="3" t="s">
        <v>33</v>
      </c>
      <c r="F476" s="3" t="s">
        <v>23</v>
      </c>
      <c r="G476" s="3" t="s">
        <v>26</v>
      </c>
      <c r="H476" s="2" t="n">
        <v>9</v>
      </c>
      <c r="I476" s="2" t="n">
        <v>4</v>
      </c>
      <c r="J476" s="4" t="n">
        <v>404.82</v>
      </c>
      <c r="K476" s="4" t="n">
        <v>182.69</v>
      </c>
      <c r="L476" s="5" t="n">
        <f aca="false">IF(H476=0,0,I476/H476)</f>
        <v>0.444444444444444</v>
      </c>
      <c r="M476" s="6" t="n">
        <f aca="false">IF(I476=0,0,J476/I476)</f>
        <v>101.205</v>
      </c>
    </row>
    <row r="477" customFormat="false" ht="15" hidden="false" customHeight="false" outlineLevel="0" collapsed="false">
      <c r="A477" s="2" t="n">
        <v>476</v>
      </c>
      <c r="B477" s="3" t="s">
        <v>103</v>
      </c>
      <c r="C477" s="3" t="s">
        <v>94</v>
      </c>
      <c r="D477" s="3" t="s">
        <v>19</v>
      </c>
      <c r="E477" s="3" t="s">
        <v>25</v>
      </c>
      <c r="F477" s="3" t="s">
        <v>23</v>
      </c>
      <c r="G477" s="3" t="s">
        <v>34</v>
      </c>
      <c r="H477" s="2" t="n">
        <v>4</v>
      </c>
      <c r="I477" s="2" t="n">
        <v>0</v>
      </c>
      <c r="J477" s="4" t="n">
        <v>0</v>
      </c>
      <c r="K477" s="4" t="n">
        <v>0</v>
      </c>
      <c r="L477" s="5" t="n">
        <f aca="false">IF(H477=0,0,I477/H477)</f>
        <v>0</v>
      </c>
      <c r="M477" s="6" t="n">
        <f aca="false">IF(I477=0,0,J477/I477)</f>
        <v>0</v>
      </c>
    </row>
    <row r="478" customFormat="false" ht="15" hidden="false" customHeight="false" outlineLevel="0" collapsed="false">
      <c r="A478" s="2" t="n">
        <v>477</v>
      </c>
      <c r="B478" s="3" t="s">
        <v>104</v>
      </c>
      <c r="C478" s="3" t="s">
        <v>94</v>
      </c>
      <c r="D478" s="3" t="s">
        <v>19</v>
      </c>
      <c r="E478" s="3" t="s">
        <v>25</v>
      </c>
      <c r="F478" s="3" t="s">
        <v>23</v>
      </c>
      <c r="G478" s="3" t="s">
        <v>31</v>
      </c>
      <c r="H478" s="2" t="n">
        <v>10</v>
      </c>
      <c r="I478" s="2" t="n">
        <v>1</v>
      </c>
      <c r="J478" s="4" t="n">
        <v>930.46</v>
      </c>
      <c r="K478" s="4" t="n">
        <v>134.12</v>
      </c>
      <c r="L478" s="5" t="n">
        <f aca="false">IF(H478=0,0,I478/H478)</f>
        <v>0.1</v>
      </c>
      <c r="M478" s="6" t="n">
        <f aca="false">IF(I478=0,0,J478/I478)</f>
        <v>930.46</v>
      </c>
    </row>
    <row r="479" customFormat="false" ht="15" hidden="false" customHeight="false" outlineLevel="0" collapsed="false">
      <c r="A479" s="2" t="n">
        <v>478</v>
      </c>
      <c r="B479" s="3" t="s">
        <v>104</v>
      </c>
      <c r="C479" s="3" t="s">
        <v>94</v>
      </c>
      <c r="D479" s="3" t="s">
        <v>19</v>
      </c>
      <c r="E479" s="3" t="s">
        <v>33</v>
      </c>
      <c r="F479" s="3" t="s">
        <v>23</v>
      </c>
      <c r="G479" s="3" t="s">
        <v>30</v>
      </c>
      <c r="H479" s="2" t="n">
        <v>6</v>
      </c>
      <c r="I479" s="2" t="n">
        <v>0</v>
      </c>
      <c r="J479" s="4" t="n">
        <v>0</v>
      </c>
      <c r="K479" s="4" t="n">
        <v>0</v>
      </c>
      <c r="L479" s="5" t="n">
        <f aca="false">IF(H479=0,0,I479/H479)</f>
        <v>0</v>
      </c>
      <c r="M479" s="6" t="n">
        <f aca="false">IF(I479=0,0,J479/I479)</f>
        <v>0</v>
      </c>
    </row>
    <row r="480" customFormat="false" ht="15" hidden="false" customHeight="false" outlineLevel="0" collapsed="false">
      <c r="A480" s="2" t="n">
        <v>479</v>
      </c>
      <c r="B480" s="3" t="s">
        <v>104</v>
      </c>
      <c r="C480" s="3" t="s">
        <v>94</v>
      </c>
      <c r="D480" s="3" t="s">
        <v>19</v>
      </c>
      <c r="E480" s="3" t="s">
        <v>16</v>
      </c>
      <c r="F480" s="3" t="s">
        <v>17</v>
      </c>
      <c r="G480" s="3" t="s">
        <v>31</v>
      </c>
      <c r="H480" s="2" t="n">
        <v>9</v>
      </c>
      <c r="I480" s="2" t="n">
        <v>3</v>
      </c>
      <c r="J480" s="4" t="n">
        <v>2495.23</v>
      </c>
      <c r="K480" s="4" t="n">
        <v>343.9</v>
      </c>
      <c r="L480" s="5" t="n">
        <f aca="false">IF(H480=0,0,I480/H480)</f>
        <v>0.333333333333333</v>
      </c>
      <c r="M480" s="6" t="n">
        <f aca="false">IF(I480=0,0,J480/I480)</f>
        <v>831.743333333333</v>
      </c>
    </row>
    <row r="481" customFormat="false" ht="15" hidden="false" customHeight="false" outlineLevel="0" collapsed="false">
      <c r="A481" s="2" t="n">
        <v>480</v>
      </c>
      <c r="B481" s="3" t="s">
        <v>104</v>
      </c>
      <c r="C481" s="3" t="s">
        <v>94</v>
      </c>
      <c r="D481" s="3" t="s">
        <v>19</v>
      </c>
      <c r="E481" s="3" t="s">
        <v>25</v>
      </c>
      <c r="F481" s="3" t="s">
        <v>29</v>
      </c>
      <c r="G481" s="3" t="s">
        <v>30</v>
      </c>
      <c r="H481" s="2" t="n">
        <v>8</v>
      </c>
      <c r="I481" s="2" t="n">
        <v>2</v>
      </c>
      <c r="J481" s="4" t="n">
        <v>1634.94</v>
      </c>
      <c r="K481" s="4" t="n">
        <v>225.31</v>
      </c>
      <c r="L481" s="5" t="n">
        <f aca="false">IF(H481=0,0,I481/H481)</f>
        <v>0.25</v>
      </c>
      <c r="M481" s="6" t="n">
        <f aca="false">IF(I481=0,0,J481/I481)</f>
        <v>817.47</v>
      </c>
    </row>
    <row r="482" customFormat="false" ht="15" hidden="false" customHeight="false" outlineLevel="0" collapsed="false">
      <c r="A482" s="2" t="n">
        <v>481</v>
      </c>
      <c r="B482" s="3" t="s">
        <v>104</v>
      </c>
      <c r="C482" s="3" t="s">
        <v>94</v>
      </c>
      <c r="D482" s="3" t="s">
        <v>15</v>
      </c>
      <c r="E482" s="3" t="s">
        <v>28</v>
      </c>
      <c r="F482" s="3" t="s">
        <v>23</v>
      </c>
      <c r="G482" s="3" t="s">
        <v>34</v>
      </c>
      <c r="H482" s="2" t="n">
        <v>5</v>
      </c>
      <c r="I482" s="2" t="n">
        <v>2</v>
      </c>
      <c r="J482" s="4" t="n">
        <v>452.74</v>
      </c>
      <c r="K482" s="4" t="n">
        <v>135.53</v>
      </c>
      <c r="L482" s="5" t="n">
        <f aca="false">IF(H482=0,0,I482/H482)</f>
        <v>0.4</v>
      </c>
      <c r="M482" s="6" t="n">
        <f aca="false">IF(I482=0,0,J482/I482)</f>
        <v>226.37</v>
      </c>
    </row>
    <row r="483" customFormat="false" ht="15" hidden="false" customHeight="false" outlineLevel="0" collapsed="false">
      <c r="A483" s="2" t="n">
        <v>482</v>
      </c>
      <c r="B483" s="3" t="s">
        <v>104</v>
      </c>
      <c r="C483" s="3" t="s">
        <v>94</v>
      </c>
      <c r="D483" s="3" t="s">
        <v>22</v>
      </c>
      <c r="E483" s="3" t="s">
        <v>25</v>
      </c>
      <c r="F483" s="3" t="s">
        <v>23</v>
      </c>
      <c r="G483" s="3" t="s">
        <v>34</v>
      </c>
      <c r="H483" s="2" t="n">
        <v>2</v>
      </c>
      <c r="I483" s="2" t="n">
        <v>0</v>
      </c>
      <c r="J483" s="4" t="n">
        <v>0</v>
      </c>
      <c r="K483" s="4" t="n">
        <v>0</v>
      </c>
      <c r="L483" s="5" t="n">
        <f aca="false">IF(H483=0,0,I483/H483)</f>
        <v>0</v>
      </c>
      <c r="M483" s="6" t="n">
        <f aca="false">IF(I483=0,0,J483/I483)</f>
        <v>0</v>
      </c>
    </row>
    <row r="484" customFormat="false" ht="15" hidden="false" customHeight="false" outlineLevel="0" collapsed="false">
      <c r="A484" s="2" t="n">
        <v>483</v>
      </c>
      <c r="B484" s="3" t="s">
        <v>104</v>
      </c>
      <c r="C484" s="3" t="s">
        <v>94</v>
      </c>
      <c r="D484" s="3" t="s">
        <v>22</v>
      </c>
      <c r="E484" s="3" t="s">
        <v>16</v>
      </c>
      <c r="F484" s="3" t="s">
        <v>23</v>
      </c>
      <c r="G484" s="3" t="s">
        <v>31</v>
      </c>
      <c r="H484" s="2" t="n">
        <v>2</v>
      </c>
      <c r="I484" s="2" t="n">
        <v>1</v>
      </c>
      <c r="J484" s="4" t="n">
        <v>97.94</v>
      </c>
      <c r="K484" s="4" t="n">
        <v>39.36</v>
      </c>
      <c r="L484" s="5" t="n">
        <f aca="false">IF(H484=0,0,I484/H484)</f>
        <v>0.5</v>
      </c>
      <c r="M484" s="6" t="n">
        <f aca="false">IF(I484=0,0,J484/I484)</f>
        <v>97.94</v>
      </c>
    </row>
    <row r="485" customFormat="false" ht="15" hidden="false" customHeight="false" outlineLevel="0" collapsed="false">
      <c r="A485" s="2" t="n">
        <v>484</v>
      </c>
      <c r="B485" s="3" t="s">
        <v>104</v>
      </c>
      <c r="C485" s="3" t="s">
        <v>94</v>
      </c>
      <c r="D485" s="3" t="s">
        <v>22</v>
      </c>
      <c r="E485" s="3" t="s">
        <v>33</v>
      </c>
      <c r="F485" s="3" t="s">
        <v>20</v>
      </c>
      <c r="G485" s="3" t="s">
        <v>26</v>
      </c>
      <c r="H485" s="2" t="n">
        <v>2</v>
      </c>
      <c r="I485" s="2" t="n">
        <v>0</v>
      </c>
      <c r="J485" s="4" t="n">
        <v>0</v>
      </c>
      <c r="K485" s="4" t="n">
        <v>0</v>
      </c>
      <c r="L485" s="5" t="n">
        <f aca="false">IF(H485=0,0,I485/H485)</f>
        <v>0</v>
      </c>
      <c r="M485" s="6" t="n">
        <f aca="false">IF(I485=0,0,J485/I485)</f>
        <v>0</v>
      </c>
    </row>
    <row r="486" customFormat="false" ht="15" hidden="false" customHeight="false" outlineLevel="0" collapsed="false">
      <c r="A486" s="2" t="n">
        <v>485</v>
      </c>
      <c r="B486" s="3" t="s">
        <v>104</v>
      </c>
      <c r="C486" s="3" t="s">
        <v>94</v>
      </c>
      <c r="D486" s="3" t="s">
        <v>27</v>
      </c>
      <c r="E486" s="3" t="s">
        <v>25</v>
      </c>
      <c r="F486" s="3" t="s">
        <v>17</v>
      </c>
      <c r="G486" s="3" t="s">
        <v>18</v>
      </c>
      <c r="H486" s="2" t="n">
        <v>11</v>
      </c>
      <c r="I486" s="2" t="n">
        <v>1</v>
      </c>
      <c r="J486" s="4" t="n">
        <v>1221.69</v>
      </c>
      <c r="K486" s="4" t="n">
        <v>222.78</v>
      </c>
      <c r="L486" s="5" t="n">
        <f aca="false">IF(H486=0,0,I486/H486)</f>
        <v>0.0909090909090909</v>
      </c>
      <c r="M486" s="6" t="n">
        <f aca="false">IF(I486=0,0,J486/I486)</f>
        <v>1221.69</v>
      </c>
    </row>
    <row r="487" customFormat="false" ht="15" hidden="false" customHeight="false" outlineLevel="0" collapsed="false">
      <c r="A487" s="2" t="n">
        <v>486</v>
      </c>
      <c r="B487" s="3" t="s">
        <v>104</v>
      </c>
      <c r="C487" s="3" t="s">
        <v>94</v>
      </c>
      <c r="D487" s="3" t="s">
        <v>27</v>
      </c>
      <c r="E487" s="3" t="s">
        <v>33</v>
      </c>
      <c r="F487" s="3" t="s">
        <v>23</v>
      </c>
      <c r="G487" s="3" t="s">
        <v>18</v>
      </c>
      <c r="H487" s="2" t="n">
        <v>8</v>
      </c>
      <c r="I487" s="2" t="n">
        <v>1</v>
      </c>
      <c r="J487" s="4" t="n">
        <v>1627.68</v>
      </c>
      <c r="K487" s="4" t="n">
        <v>270.69</v>
      </c>
      <c r="L487" s="5" t="n">
        <f aca="false">IF(H487=0,0,I487/H487)</f>
        <v>0.125</v>
      </c>
      <c r="M487" s="6" t="n">
        <f aca="false">IF(I487=0,0,J487/I487)</f>
        <v>1627.68</v>
      </c>
    </row>
    <row r="488" customFormat="false" ht="15" hidden="false" customHeight="false" outlineLevel="0" collapsed="false">
      <c r="A488" s="2" t="n">
        <v>487</v>
      </c>
      <c r="B488" s="3" t="s">
        <v>104</v>
      </c>
      <c r="C488" s="3" t="s">
        <v>94</v>
      </c>
      <c r="D488" s="3" t="s">
        <v>22</v>
      </c>
      <c r="E488" s="3" t="s">
        <v>16</v>
      </c>
      <c r="F488" s="3" t="s">
        <v>20</v>
      </c>
      <c r="G488" s="3" t="s">
        <v>31</v>
      </c>
      <c r="H488" s="2" t="n">
        <v>6</v>
      </c>
      <c r="I488" s="2" t="n">
        <v>5</v>
      </c>
      <c r="J488" s="4" t="n">
        <v>484.11</v>
      </c>
      <c r="K488" s="4" t="n">
        <v>192.94</v>
      </c>
      <c r="L488" s="5" t="n">
        <f aca="false">IF(H488=0,0,I488/H488)</f>
        <v>0.833333333333333</v>
      </c>
      <c r="M488" s="6" t="n">
        <f aca="false">IF(I488=0,0,J488/I488)</f>
        <v>96.822</v>
      </c>
    </row>
    <row r="489" customFormat="false" ht="15" hidden="false" customHeight="false" outlineLevel="0" collapsed="false">
      <c r="A489" s="2" t="n">
        <v>488</v>
      </c>
      <c r="B489" s="3" t="s">
        <v>104</v>
      </c>
      <c r="C489" s="3" t="s">
        <v>94</v>
      </c>
      <c r="D489" s="3" t="s">
        <v>19</v>
      </c>
      <c r="E489" s="3" t="s">
        <v>16</v>
      </c>
      <c r="F489" s="3" t="s">
        <v>23</v>
      </c>
      <c r="G489" s="3" t="s">
        <v>30</v>
      </c>
      <c r="H489" s="2" t="n">
        <v>3</v>
      </c>
      <c r="I489" s="2" t="n">
        <v>1</v>
      </c>
      <c r="J489" s="4" t="n">
        <v>808.18</v>
      </c>
      <c r="K489" s="4" t="n">
        <v>115.16</v>
      </c>
      <c r="L489" s="5" t="n">
        <f aca="false">IF(H489=0,0,I489/H489)</f>
        <v>0.333333333333333</v>
      </c>
      <c r="M489" s="6" t="n">
        <f aca="false">IF(I489=0,0,J489/I489)</f>
        <v>808.18</v>
      </c>
    </row>
    <row r="490" customFormat="false" ht="15" hidden="false" customHeight="false" outlineLevel="0" collapsed="false">
      <c r="A490" s="2" t="n">
        <v>489</v>
      </c>
      <c r="B490" s="3" t="s">
        <v>104</v>
      </c>
      <c r="C490" s="3" t="s">
        <v>94</v>
      </c>
      <c r="D490" s="3" t="s">
        <v>24</v>
      </c>
      <c r="E490" s="3" t="s">
        <v>16</v>
      </c>
      <c r="F490" s="3" t="s">
        <v>23</v>
      </c>
      <c r="G490" s="3" t="s">
        <v>31</v>
      </c>
      <c r="H490" s="2" t="n">
        <v>5</v>
      </c>
      <c r="I490" s="2" t="n">
        <v>1</v>
      </c>
      <c r="J490" s="4" t="n">
        <v>360.31</v>
      </c>
      <c r="K490" s="4" t="n">
        <v>95.46</v>
      </c>
      <c r="L490" s="5" t="n">
        <f aca="false">IF(H490=0,0,I490/H490)</f>
        <v>0.2</v>
      </c>
      <c r="M490" s="6" t="n">
        <f aca="false">IF(I490=0,0,J490/I490)</f>
        <v>360.31</v>
      </c>
    </row>
    <row r="491" customFormat="false" ht="15" hidden="false" customHeight="false" outlineLevel="0" collapsed="false">
      <c r="A491" s="2" t="n">
        <v>490</v>
      </c>
      <c r="B491" s="3" t="s">
        <v>105</v>
      </c>
      <c r="C491" s="3" t="s">
        <v>94</v>
      </c>
      <c r="D491" s="3" t="s">
        <v>24</v>
      </c>
      <c r="E491" s="3" t="s">
        <v>28</v>
      </c>
      <c r="F491" s="3" t="s">
        <v>29</v>
      </c>
      <c r="G491" s="3" t="s">
        <v>18</v>
      </c>
      <c r="H491" s="2" t="n">
        <v>7</v>
      </c>
      <c r="I491" s="2" t="n">
        <v>1</v>
      </c>
      <c r="J491" s="4" t="n">
        <v>247</v>
      </c>
      <c r="K491" s="4" t="n">
        <v>58.04</v>
      </c>
      <c r="L491" s="5" t="n">
        <f aca="false">IF(H491=0,0,I491/H491)</f>
        <v>0.142857142857143</v>
      </c>
      <c r="M491" s="6" t="n">
        <f aca="false">IF(I491=0,0,J491/I491)</f>
        <v>247</v>
      </c>
    </row>
    <row r="492" customFormat="false" ht="15" hidden="false" customHeight="false" outlineLevel="0" collapsed="false">
      <c r="A492" s="2" t="n">
        <v>491</v>
      </c>
      <c r="B492" s="3" t="s">
        <v>105</v>
      </c>
      <c r="C492" s="3" t="s">
        <v>94</v>
      </c>
      <c r="D492" s="3" t="s">
        <v>24</v>
      </c>
      <c r="E492" s="3" t="s">
        <v>33</v>
      </c>
      <c r="F492" s="3" t="s">
        <v>17</v>
      </c>
      <c r="G492" s="3" t="s">
        <v>26</v>
      </c>
      <c r="H492" s="2" t="n">
        <v>4</v>
      </c>
      <c r="I492" s="2" t="n">
        <v>0</v>
      </c>
      <c r="J492" s="4" t="n">
        <v>0</v>
      </c>
      <c r="K492" s="4" t="n">
        <v>0</v>
      </c>
      <c r="L492" s="5" t="n">
        <f aca="false">IF(H492=0,0,I492/H492)</f>
        <v>0</v>
      </c>
      <c r="M492" s="6" t="n">
        <f aca="false">IF(I492=0,0,J492/I492)</f>
        <v>0</v>
      </c>
    </row>
    <row r="493" customFormat="false" ht="15" hidden="false" customHeight="false" outlineLevel="0" collapsed="false">
      <c r="A493" s="2" t="n">
        <v>492</v>
      </c>
      <c r="B493" s="3" t="s">
        <v>105</v>
      </c>
      <c r="C493" s="3" t="s">
        <v>94</v>
      </c>
      <c r="D493" s="3" t="s">
        <v>15</v>
      </c>
      <c r="E493" s="3" t="s">
        <v>25</v>
      </c>
      <c r="F493" s="3" t="s">
        <v>23</v>
      </c>
      <c r="G493" s="3" t="s">
        <v>30</v>
      </c>
      <c r="H493" s="2" t="n">
        <v>8</v>
      </c>
      <c r="I493" s="2" t="n">
        <v>1</v>
      </c>
      <c r="J493" s="4" t="n">
        <v>155.74</v>
      </c>
      <c r="K493" s="4" t="n">
        <v>47.22</v>
      </c>
      <c r="L493" s="5" t="n">
        <f aca="false">IF(H493=0,0,I493/H493)</f>
        <v>0.125</v>
      </c>
      <c r="M493" s="6" t="n">
        <f aca="false">IF(I493=0,0,J493/I493)</f>
        <v>155.74</v>
      </c>
    </row>
    <row r="494" customFormat="false" ht="15" hidden="false" customHeight="false" outlineLevel="0" collapsed="false">
      <c r="A494" s="2" t="n">
        <v>493</v>
      </c>
      <c r="B494" s="3" t="s">
        <v>105</v>
      </c>
      <c r="C494" s="3" t="s">
        <v>94</v>
      </c>
      <c r="D494" s="3" t="s">
        <v>22</v>
      </c>
      <c r="E494" s="3" t="s">
        <v>16</v>
      </c>
      <c r="F494" s="3" t="s">
        <v>23</v>
      </c>
      <c r="G494" s="3" t="s">
        <v>34</v>
      </c>
      <c r="H494" s="2" t="n">
        <v>8</v>
      </c>
      <c r="I494" s="2" t="n">
        <v>2</v>
      </c>
      <c r="J494" s="4" t="n">
        <v>265.35</v>
      </c>
      <c r="K494" s="4" t="n">
        <v>117.33</v>
      </c>
      <c r="L494" s="5" t="n">
        <f aca="false">IF(H494=0,0,I494/H494)</f>
        <v>0.25</v>
      </c>
      <c r="M494" s="6" t="n">
        <f aca="false">IF(I494=0,0,J494/I494)</f>
        <v>132.675</v>
      </c>
    </row>
    <row r="495" customFormat="false" ht="15" hidden="false" customHeight="false" outlineLevel="0" collapsed="false">
      <c r="A495" s="2" t="n">
        <v>494</v>
      </c>
      <c r="B495" s="3" t="s">
        <v>105</v>
      </c>
      <c r="C495" s="3" t="s">
        <v>94</v>
      </c>
      <c r="D495" s="3" t="s">
        <v>19</v>
      </c>
      <c r="E495" s="3" t="s">
        <v>28</v>
      </c>
      <c r="F495" s="3" t="s">
        <v>20</v>
      </c>
      <c r="G495" s="3" t="s">
        <v>18</v>
      </c>
      <c r="H495" s="2" t="n">
        <v>7</v>
      </c>
      <c r="I495" s="2" t="n">
        <v>2</v>
      </c>
      <c r="J495" s="4" t="n">
        <v>1933.16</v>
      </c>
      <c r="K495" s="4" t="n">
        <v>277.17</v>
      </c>
      <c r="L495" s="5" t="n">
        <f aca="false">IF(H495=0,0,I495/H495)</f>
        <v>0.285714285714286</v>
      </c>
      <c r="M495" s="6" t="n">
        <f aca="false">IF(I495=0,0,J495/I495)</f>
        <v>966.58</v>
      </c>
    </row>
    <row r="496" customFormat="false" ht="15" hidden="false" customHeight="false" outlineLevel="0" collapsed="false">
      <c r="A496" s="2" t="n">
        <v>495</v>
      </c>
      <c r="B496" s="3" t="s">
        <v>106</v>
      </c>
      <c r="C496" s="3" t="s">
        <v>94</v>
      </c>
      <c r="D496" s="3" t="s">
        <v>24</v>
      </c>
      <c r="E496" s="3" t="s">
        <v>16</v>
      </c>
      <c r="F496" s="3" t="s">
        <v>23</v>
      </c>
      <c r="G496" s="3" t="s">
        <v>31</v>
      </c>
      <c r="H496" s="2" t="n">
        <v>8</v>
      </c>
      <c r="I496" s="2" t="n">
        <v>0</v>
      </c>
      <c r="J496" s="4" t="n">
        <v>0</v>
      </c>
      <c r="K496" s="4" t="n">
        <v>0</v>
      </c>
      <c r="L496" s="5" t="n">
        <f aca="false">IF(H496=0,0,I496/H496)</f>
        <v>0</v>
      </c>
      <c r="M496" s="6" t="n">
        <f aca="false">IF(I496=0,0,J496/I496)</f>
        <v>0</v>
      </c>
    </row>
    <row r="497" customFormat="false" ht="15" hidden="false" customHeight="false" outlineLevel="0" collapsed="false">
      <c r="A497" s="2" t="n">
        <v>496</v>
      </c>
      <c r="B497" s="3" t="s">
        <v>106</v>
      </c>
      <c r="C497" s="3" t="s">
        <v>94</v>
      </c>
      <c r="D497" s="3" t="s">
        <v>15</v>
      </c>
      <c r="E497" s="3" t="s">
        <v>33</v>
      </c>
      <c r="F497" s="3" t="s">
        <v>20</v>
      </c>
      <c r="G497" s="3" t="s">
        <v>26</v>
      </c>
      <c r="H497" s="2" t="n">
        <v>9</v>
      </c>
      <c r="I497" s="2" t="n">
        <v>0</v>
      </c>
      <c r="J497" s="4" t="n">
        <v>0</v>
      </c>
      <c r="K497" s="4" t="n">
        <v>0</v>
      </c>
      <c r="L497" s="5" t="n">
        <f aca="false">IF(H497=0,0,I497/H497)</f>
        <v>0</v>
      </c>
      <c r="M497" s="6" t="n">
        <f aca="false">IF(I497=0,0,J497/I497)</f>
        <v>0</v>
      </c>
    </row>
    <row r="498" customFormat="false" ht="15" hidden="false" customHeight="false" outlineLevel="0" collapsed="false">
      <c r="A498" s="2" t="n">
        <v>497</v>
      </c>
      <c r="B498" s="3" t="s">
        <v>106</v>
      </c>
      <c r="C498" s="3" t="s">
        <v>94</v>
      </c>
      <c r="D498" s="3" t="s">
        <v>27</v>
      </c>
      <c r="E498" s="3" t="s">
        <v>33</v>
      </c>
      <c r="F498" s="3" t="s">
        <v>29</v>
      </c>
      <c r="G498" s="3" t="s">
        <v>21</v>
      </c>
      <c r="H498" s="2" t="n">
        <v>7</v>
      </c>
      <c r="I498" s="2" t="n">
        <v>0</v>
      </c>
      <c r="J498" s="4" t="n">
        <v>0</v>
      </c>
      <c r="K498" s="4" t="n">
        <v>0</v>
      </c>
      <c r="L498" s="5" t="n">
        <f aca="false">IF(H498=0,0,I498/H498)</f>
        <v>0</v>
      </c>
      <c r="M498" s="6" t="n">
        <f aca="false">IF(I498=0,0,J498/I498)</f>
        <v>0</v>
      </c>
    </row>
    <row r="499" customFormat="false" ht="15" hidden="false" customHeight="false" outlineLevel="0" collapsed="false">
      <c r="A499" s="2" t="n">
        <v>498</v>
      </c>
      <c r="B499" s="3" t="s">
        <v>106</v>
      </c>
      <c r="C499" s="3" t="s">
        <v>94</v>
      </c>
      <c r="D499" s="3" t="s">
        <v>27</v>
      </c>
      <c r="E499" s="3" t="s">
        <v>16</v>
      </c>
      <c r="F499" s="3" t="s">
        <v>23</v>
      </c>
      <c r="G499" s="3" t="s">
        <v>30</v>
      </c>
      <c r="H499" s="2" t="n">
        <v>5</v>
      </c>
      <c r="I499" s="2" t="n">
        <v>1</v>
      </c>
      <c r="J499" s="4" t="n">
        <v>1417.61</v>
      </c>
      <c r="K499" s="4" t="n">
        <v>245.78</v>
      </c>
      <c r="L499" s="5" t="n">
        <f aca="false">IF(H499=0,0,I499/H499)</f>
        <v>0.2</v>
      </c>
      <c r="M499" s="6" t="n">
        <f aca="false">IF(I499=0,0,J499/I499)</f>
        <v>1417.61</v>
      </c>
    </row>
    <row r="500" customFormat="false" ht="15" hidden="false" customHeight="false" outlineLevel="0" collapsed="false">
      <c r="A500" s="2" t="n">
        <v>499</v>
      </c>
      <c r="B500" s="3" t="s">
        <v>106</v>
      </c>
      <c r="C500" s="3" t="s">
        <v>94</v>
      </c>
      <c r="D500" s="3" t="s">
        <v>19</v>
      </c>
      <c r="E500" s="3" t="s">
        <v>25</v>
      </c>
      <c r="F500" s="3" t="s">
        <v>23</v>
      </c>
      <c r="G500" s="3" t="s">
        <v>31</v>
      </c>
      <c r="H500" s="2" t="n">
        <v>11</v>
      </c>
      <c r="I500" s="2" t="n">
        <v>3</v>
      </c>
      <c r="J500" s="4" t="n">
        <v>2198.3</v>
      </c>
      <c r="K500" s="4" t="n">
        <v>319.72</v>
      </c>
      <c r="L500" s="5" t="n">
        <f aca="false">IF(H500=0,0,I500/H500)</f>
        <v>0.272727272727273</v>
      </c>
      <c r="M500" s="6" t="n">
        <f aca="false">IF(I500=0,0,J500/I500)</f>
        <v>732.766666666667</v>
      </c>
    </row>
    <row r="501" customFormat="false" ht="15" hidden="false" customHeight="false" outlineLevel="0" collapsed="false">
      <c r="A501" s="2" t="n">
        <v>500</v>
      </c>
      <c r="B501" s="3" t="s">
        <v>106</v>
      </c>
      <c r="C501" s="3" t="s">
        <v>94</v>
      </c>
      <c r="D501" s="3" t="s">
        <v>24</v>
      </c>
      <c r="E501" s="3" t="s">
        <v>33</v>
      </c>
      <c r="F501" s="3" t="s">
        <v>20</v>
      </c>
      <c r="G501" s="3" t="s">
        <v>30</v>
      </c>
      <c r="H501" s="2" t="n">
        <v>4</v>
      </c>
      <c r="I501" s="2" t="n">
        <v>0</v>
      </c>
      <c r="J501" s="4" t="n">
        <v>0</v>
      </c>
      <c r="K501" s="4" t="n">
        <v>0</v>
      </c>
      <c r="L501" s="5" t="n">
        <f aca="false">IF(H501=0,0,I501/H501)</f>
        <v>0</v>
      </c>
      <c r="M501" s="6" t="n">
        <f aca="false">IF(I501=0,0,J501/I501)</f>
        <v>0</v>
      </c>
    </row>
    <row r="502" customFormat="false" ht="15" hidden="false" customHeight="false" outlineLevel="0" collapsed="false">
      <c r="A502" s="2" t="n">
        <v>501</v>
      </c>
      <c r="B502" s="3" t="s">
        <v>106</v>
      </c>
      <c r="C502" s="3" t="s">
        <v>94</v>
      </c>
      <c r="D502" s="3" t="s">
        <v>19</v>
      </c>
      <c r="E502" s="3" t="s">
        <v>28</v>
      </c>
      <c r="F502" s="3" t="s">
        <v>29</v>
      </c>
      <c r="G502" s="3" t="s">
        <v>21</v>
      </c>
      <c r="H502" s="2" t="n">
        <v>6</v>
      </c>
      <c r="I502" s="2" t="n">
        <v>0</v>
      </c>
      <c r="J502" s="4" t="n">
        <v>0</v>
      </c>
      <c r="K502" s="4" t="n">
        <v>0</v>
      </c>
      <c r="L502" s="5" t="n">
        <f aca="false">IF(H502=0,0,I502/H502)</f>
        <v>0</v>
      </c>
      <c r="M502" s="6" t="n">
        <f aca="false">IF(I502=0,0,J502/I502)</f>
        <v>0</v>
      </c>
    </row>
    <row r="503" customFormat="false" ht="15" hidden="false" customHeight="false" outlineLevel="0" collapsed="false">
      <c r="A503" s="2" t="n">
        <v>502</v>
      </c>
      <c r="B503" s="3" t="s">
        <v>106</v>
      </c>
      <c r="C503" s="3" t="s">
        <v>94</v>
      </c>
      <c r="D503" s="3" t="s">
        <v>19</v>
      </c>
      <c r="E503" s="3" t="s">
        <v>28</v>
      </c>
      <c r="F503" s="3" t="s">
        <v>23</v>
      </c>
      <c r="G503" s="3" t="s">
        <v>31</v>
      </c>
      <c r="H503" s="2" t="n">
        <v>9</v>
      </c>
      <c r="I503" s="2" t="n">
        <v>1</v>
      </c>
      <c r="J503" s="4" t="n">
        <v>1092.02</v>
      </c>
      <c r="K503" s="4" t="n">
        <v>144.4</v>
      </c>
      <c r="L503" s="5" t="n">
        <f aca="false">IF(H503=0,0,I503/H503)</f>
        <v>0.111111111111111</v>
      </c>
      <c r="M503" s="6" t="n">
        <f aca="false">IF(I503=0,0,J503/I503)</f>
        <v>1092.02</v>
      </c>
    </row>
    <row r="504" customFormat="false" ht="15" hidden="false" customHeight="false" outlineLevel="0" collapsed="false">
      <c r="A504" s="2" t="n">
        <v>503</v>
      </c>
      <c r="B504" s="3" t="s">
        <v>106</v>
      </c>
      <c r="C504" s="3" t="s">
        <v>94</v>
      </c>
      <c r="D504" s="3" t="s">
        <v>15</v>
      </c>
      <c r="E504" s="3" t="s">
        <v>16</v>
      </c>
      <c r="F504" s="3" t="s">
        <v>20</v>
      </c>
      <c r="G504" s="3" t="s">
        <v>30</v>
      </c>
      <c r="H504" s="2" t="n">
        <v>7</v>
      </c>
      <c r="I504" s="2" t="n">
        <v>1</v>
      </c>
      <c r="J504" s="4" t="n">
        <v>179.75</v>
      </c>
      <c r="K504" s="4" t="n">
        <v>51.02</v>
      </c>
      <c r="L504" s="5" t="n">
        <f aca="false">IF(H504=0,0,I504/H504)</f>
        <v>0.142857142857143</v>
      </c>
      <c r="M504" s="6" t="n">
        <f aca="false">IF(I504=0,0,J504/I504)</f>
        <v>179.75</v>
      </c>
    </row>
    <row r="505" customFormat="false" ht="15" hidden="false" customHeight="false" outlineLevel="0" collapsed="false">
      <c r="A505" s="2" t="n">
        <v>504</v>
      </c>
      <c r="B505" s="3" t="s">
        <v>106</v>
      </c>
      <c r="C505" s="3" t="s">
        <v>94</v>
      </c>
      <c r="D505" s="3" t="s">
        <v>22</v>
      </c>
      <c r="E505" s="3" t="s">
        <v>33</v>
      </c>
      <c r="F505" s="3" t="s">
        <v>20</v>
      </c>
      <c r="G505" s="3" t="s">
        <v>21</v>
      </c>
      <c r="H505" s="2" t="n">
        <v>8</v>
      </c>
      <c r="I505" s="2" t="n">
        <v>1</v>
      </c>
      <c r="J505" s="4" t="n">
        <v>101.66</v>
      </c>
      <c r="K505" s="4" t="n">
        <v>41.23</v>
      </c>
      <c r="L505" s="5" t="n">
        <f aca="false">IF(H505=0,0,I505/H505)</f>
        <v>0.125</v>
      </c>
      <c r="M505" s="6" t="n">
        <f aca="false">IF(I505=0,0,J505/I505)</f>
        <v>101.66</v>
      </c>
    </row>
    <row r="506" customFormat="false" ht="15" hidden="false" customHeight="false" outlineLevel="0" collapsed="false">
      <c r="A506" s="2" t="n">
        <v>505</v>
      </c>
      <c r="B506" s="3" t="s">
        <v>107</v>
      </c>
      <c r="C506" s="3" t="s">
        <v>94</v>
      </c>
      <c r="D506" s="3" t="s">
        <v>15</v>
      </c>
      <c r="E506" s="3" t="s">
        <v>33</v>
      </c>
      <c r="F506" s="3" t="s">
        <v>17</v>
      </c>
      <c r="G506" s="3" t="s">
        <v>31</v>
      </c>
      <c r="H506" s="2" t="n">
        <v>6</v>
      </c>
      <c r="I506" s="2" t="n">
        <v>1</v>
      </c>
      <c r="J506" s="4" t="n">
        <v>223.18</v>
      </c>
      <c r="K506" s="4" t="n">
        <v>70.47</v>
      </c>
      <c r="L506" s="5" t="n">
        <f aca="false">IF(H506=0,0,I506/H506)</f>
        <v>0.166666666666667</v>
      </c>
      <c r="M506" s="6" t="n">
        <f aca="false">IF(I506=0,0,J506/I506)</f>
        <v>223.18</v>
      </c>
    </row>
    <row r="507" customFormat="false" ht="15" hidden="false" customHeight="false" outlineLevel="0" collapsed="false">
      <c r="A507" s="2" t="n">
        <v>506</v>
      </c>
      <c r="B507" s="3" t="s">
        <v>107</v>
      </c>
      <c r="C507" s="3" t="s">
        <v>94</v>
      </c>
      <c r="D507" s="3" t="s">
        <v>19</v>
      </c>
      <c r="E507" s="3" t="s">
        <v>28</v>
      </c>
      <c r="F507" s="3" t="s">
        <v>20</v>
      </c>
      <c r="G507" s="3" t="s">
        <v>18</v>
      </c>
      <c r="H507" s="2" t="n">
        <v>8</v>
      </c>
      <c r="I507" s="2" t="n">
        <v>3</v>
      </c>
      <c r="J507" s="4" t="n">
        <v>2010.48</v>
      </c>
      <c r="K507" s="4" t="n">
        <v>289.47</v>
      </c>
      <c r="L507" s="5" t="n">
        <f aca="false">IF(H507=0,0,I507/H507)</f>
        <v>0.375</v>
      </c>
      <c r="M507" s="6" t="n">
        <f aca="false">IF(I507=0,0,J507/I507)</f>
        <v>670.16</v>
      </c>
    </row>
    <row r="508" customFormat="false" ht="15" hidden="false" customHeight="false" outlineLevel="0" collapsed="false">
      <c r="A508" s="2" t="n">
        <v>507</v>
      </c>
      <c r="B508" s="3" t="s">
        <v>107</v>
      </c>
      <c r="C508" s="3" t="s">
        <v>94</v>
      </c>
      <c r="D508" s="3" t="s">
        <v>19</v>
      </c>
      <c r="E508" s="3" t="s">
        <v>16</v>
      </c>
      <c r="F508" s="3" t="s">
        <v>23</v>
      </c>
      <c r="G508" s="3" t="s">
        <v>21</v>
      </c>
      <c r="H508" s="2" t="n">
        <v>2</v>
      </c>
      <c r="I508" s="2" t="n">
        <v>1</v>
      </c>
      <c r="J508" s="4" t="n">
        <v>701.97</v>
      </c>
      <c r="K508" s="4" t="n">
        <v>102.62</v>
      </c>
      <c r="L508" s="5" t="n">
        <f aca="false">IF(H508=0,0,I508/H508)</f>
        <v>0.5</v>
      </c>
      <c r="M508" s="6" t="n">
        <f aca="false">IF(I508=0,0,J508/I508)</f>
        <v>701.97</v>
      </c>
    </row>
    <row r="509" customFormat="false" ht="15" hidden="false" customHeight="false" outlineLevel="0" collapsed="false">
      <c r="A509" s="2" t="n">
        <v>508</v>
      </c>
      <c r="B509" s="3" t="s">
        <v>107</v>
      </c>
      <c r="C509" s="3" t="s">
        <v>94</v>
      </c>
      <c r="D509" s="3" t="s">
        <v>15</v>
      </c>
      <c r="E509" s="3" t="s">
        <v>25</v>
      </c>
      <c r="F509" s="3" t="s">
        <v>23</v>
      </c>
      <c r="G509" s="3" t="s">
        <v>18</v>
      </c>
      <c r="H509" s="2" t="n">
        <v>11</v>
      </c>
      <c r="I509" s="2" t="n">
        <v>2</v>
      </c>
      <c r="J509" s="4" t="n">
        <v>370.28</v>
      </c>
      <c r="K509" s="4" t="n">
        <v>114.42</v>
      </c>
      <c r="L509" s="5" t="n">
        <f aca="false">IF(H509=0,0,I509/H509)</f>
        <v>0.181818181818182</v>
      </c>
      <c r="M509" s="6" t="n">
        <f aca="false">IF(I509=0,0,J509/I509)</f>
        <v>185.14</v>
      </c>
    </row>
    <row r="510" customFormat="false" ht="15" hidden="false" customHeight="false" outlineLevel="0" collapsed="false">
      <c r="A510" s="2" t="n">
        <v>509</v>
      </c>
      <c r="B510" s="3" t="s">
        <v>107</v>
      </c>
      <c r="C510" s="3" t="s">
        <v>94</v>
      </c>
      <c r="D510" s="3" t="s">
        <v>19</v>
      </c>
      <c r="E510" s="3" t="s">
        <v>25</v>
      </c>
      <c r="F510" s="3" t="s">
        <v>17</v>
      </c>
      <c r="G510" s="3" t="s">
        <v>31</v>
      </c>
      <c r="H510" s="2" t="n">
        <v>14</v>
      </c>
      <c r="I510" s="2" t="n">
        <v>1</v>
      </c>
      <c r="J510" s="4" t="n">
        <v>838.76</v>
      </c>
      <c r="K510" s="4" t="n">
        <v>116.81</v>
      </c>
      <c r="L510" s="5" t="n">
        <f aca="false">IF(H510=0,0,I510/H510)</f>
        <v>0.0714285714285714</v>
      </c>
      <c r="M510" s="6" t="n">
        <f aca="false">IF(I510=0,0,J510/I510)</f>
        <v>838.76</v>
      </c>
    </row>
    <row r="511" customFormat="false" ht="15" hidden="false" customHeight="false" outlineLevel="0" collapsed="false">
      <c r="A511" s="2" t="n">
        <v>510</v>
      </c>
      <c r="B511" s="3" t="s">
        <v>107</v>
      </c>
      <c r="C511" s="3" t="s">
        <v>94</v>
      </c>
      <c r="D511" s="3" t="s">
        <v>19</v>
      </c>
      <c r="E511" s="3" t="s">
        <v>28</v>
      </c>
      <c r="F511" s="3" t="s">
        <v>20</v>
      </c>
      <c r="G511" s="3" t="s">
        <v>31</v>
      </c>
      <c r="H511" s="2" t="n">
        <v>10</v>
      </c>
      <c r="I511" s="2" t="n">
        <v>1</v>
      </c>
      <c r="J511" s="4" t="n">
        <v>680.11</v>
      </c>
      <c r="K511" s="4" t="n">
        <v>98.55</v>
      </c>
      <c r="L511" s="5" t="n">
        <f aca="false">IF(H511=0,0,I511/H511)</f>
        <v>0.1</v>
      </c>
      <c r="M511" s="6" t="n">
        <f aca="false">IF(I511=0,0,J511/I511)</f>
        <v>680.11</v>
      </c>
    </row>
    <row r="512" customFormat="false" ht="15" hidden="false" customHeight="false" outlineLevel="0" collapsed="false">
      <c r="A512" s="2" t="n">
        <v>511</v>
      </c>
      <c r="B512" s="3" t="s">
        <v>107</v>
      </c>
      <c r="C512" s="3" t="s">
        <v>94</v>
      </c>
      <c r="D512" s="3" t="s">
        <v>19</v>
      </c>
      <c r="E512" s="3" t="s">
        <v>16</v>
      </c>
      <c r="F512" s="3" t="s">
        <v>23</v>
      </c>
      <c r="G512" s="3" t="s">
        <v>18</v>
      </c>
      <c r="H512" s="2" t="n">
        <v>8</v>
      </c>
      <c r="I512" s="2" t="n">
        <v>3</v>
      </c>
      <c r="J512" s="4" t="n">
        <v>3218.4</v>
      </c>
      <c r="K512" s="4" t="n">
        <v>483.81</v>
      </c>
      <c r="L512" s="5" t="n">
        <f aca="false">IF(H512=0,0,I512/H512)</f>
        <v>0.375</v>
      </c>
      <c r="M512" s="6" t="n">
        <f aca="false">IF(I512=0,0,J512/I512)</f>
        <v>1072.8</v>
      </c>
    </row>
    <row r="513" customFormat="false" ht="15" hidden="false" customHeight="false" outlineLevel="0" collapsed="false">
      <c r="A513" s="2" t="n">
        <v>512</v>
      </c>
      <c r="B513" s="3" t="s">
        <v>108</v>
      </c>
      <c r="C513" s="3" t="s">
        <v>94</v>
      </c>
      <c r="D513" s="3" t="s">
        <v>19</v>
      </c>
      <c r="E513" s="3" t="s">
        <v>25</v>
      </c>
      <c r="F513" s="3" t="s">
        <v>23</v>
      </c>
      <c r="G513" s="3" t="s">
        <v>26</v>
      </c>
      <c r="H513" s="2" t="n">
        <v>3</v>
      </c>
      <c r="I513" s="2" t="n">
        <v>0</v>
      </c>
      <c r="J513" s="4" t="n">
        <v>0</v>
      </c>
      <c r="K513" s="4" t="n">
        <v>0</v>
      </c>
      <c r="L513" s="5" t="n">
        <f aca="false">IF(H513=0,0,I513/H513)</f>
        <v>0</v>
      </c>
      <c r="M513" s="6" t="n">
        <f aca="false">IF(I513=0,0,J513/I513)</f>
        <v>0</v>
      </c>
    </row>
    <row r="514" customFormat="false" ht="15" hidden="false" customHeight="false" outlineLevel="0" collapsed="false">
      <c r="A514" s="2" t="n">
        <v>513</v>
      </c>
      <c r="B514" s="3" t="s">
        <v>109</v>
      </c>
      <c r="C514" s="3" t="s">
        <v>94</v>
      </c>
      <c r="D514" s="3" t="s">
        <v>24</v>
      </c>
      <c r="E514" s="3" t="s">
        <v>16</v>
      </c>
      <c r="F514" s="3" t="s">
        <v>20</v>
      </c>
      <c r="G514" s="3" t="s">
        <v>18</v>
      </c>
      <c r="H514" s="2" t="n">
        <v>5</v>
      </c>
      <c r="I514" s="2" t="n">
        <v>1</v>
      </c>
      <c r="J514" s="4" t="n">
        <v>210.91</v>
      </c>
      <c r="K514" s="4" t="n">
        <v>51.68</v>
      </c>
      <c r="L514" s="5" t="n">
        <f aca="false">IF(H514=0,0,I514/H514)</f>
        <v>0.2</v>
      </c>
      <c r="M514" s="6" t="n">
        <f aca="false">IF(I514=0,0,J514/I514)</f>
        <v>210.91</v>
      </c>
    </row>
    <row r="515" customFormat="false" ht="15" hidden="false" customHeight="false" outlineLevel="0" collapsed="false">
      <c r="A515" s="2" t="n">
        <v>514</v>
      </c>
      <c r="B515" s="3" t="s">
        <v>109</v>
      </c>
      <c r="C515" s="3" t="s">
        <v>94</v>
      </c>
      <c r="D515" s="3" t="s">
        <v>19</v>
      </c>
      <c r="E515" s="3" t="s">
        <v>28</v>
      </c>
      <c r="F515" s="3" t="s">
        <v>23</v>
      </c>
      <c r="G515" s="3" t="s">
        <v>34</v>
      </c>
      <c r="H515" s="2" t="n">
        <v>7</v>
      </c>
      <c r="I515" s="2" t="n">
        <v>2</v>
      </c>
      <c r="J515" s="4" t="n">
        <v>2028.58</v>
      </c>
      <c r="K515" s="4" t="n">
        <v>274.44</v>
      </c>
      <c r="L515" s="5" t="n">
        <f aca="false">IF(H515=0,0,I515/H515)</f>
        <v>0.285714285714286</v>
      </c>
      <c r="M515" s="6" t="n">
        <f aca="false">IF(I515=0,0,J515/I515)</f>
        <v>1014.29</v>
      </c>
    </row>
    <row r="516" customFormat="false" ht="15" hidden="false" customHeight="false" outlineLevel="0" collapsed="false">
      <c r="A516" s="2" t="n">
        <v>515</v>
      </c>
      <c r="B516" s="3" t="s">
        <v>109</v>
      </c>
      <c r="C516" s="3" t="s">
        <v>94</v>
      </c>
      <c r="D516" s="3" t="s">
        <v>24</v>
      </c>
      <c r="E516" s="3" t="s">
        <v>25</v>
      </c>
      <c r="F516" s="3" t="s">
        <v>17</v>
      </c>
      <c r="G516" s="3" t="s">
        <v>34</v>
      </c>
      <c r="H516" s="2" t="n">
        <v>13</v>
      </c>
      <c r="I516" s="2" t="n">
        <v>4</v>
      </c>
      <c r="J516" s="4" t="n">
        <v>1154.31</v>
      </c>
      <c r="K516" s="4" t="n">
        <v>310.62</v>
      </c>
      <c r="L516" s="5" t="n">
        <f aca="false">IF(H516=0,0,I516/H516)</f>
        <v>0.307692307692308</v>
      </c>
      <c r="M516" s="6" t="n">
        <f aca="false">IF(I516=0,0,J516/I516)</f>
        <v>288.5775</v>
      </c>
    </row>
    <row r="517" customFormat="false" ht="15" hidden="false" customHeight="false" outlineLevel="0" collapsed="false">
      <c r="A517" s="2" t="n">
        <v>516</v>
      </c>
      <c r="B517" s="3" t="s">
        <v>109</v>
      </c>
      <c r="C517" s="3" t="s">
        <v>94</v>
      </c>
      <c r="D517" s="3" t="s">
        <v>22</v>
      </c>
      <c r="E517" s="3" t="s">
        <v>25</v>
      </c>
      <c r="F517" s="3" t="s">
        <v>23</v>
      </c>
      <c r="G517" s="3" t="s">
        <v>26</v>
      </c>
      <c r="H517" s="2" t="n">
        <v>6</v>
      </c>
      <c r="I517" s="2" t="n">
        <v>0</v>
      </c>
      <c r="J517" s="4" t="n">
        <v>0</v>
      </c>
      <c r="K517" s="4" t="n">
        <v>0</v>
      </c>
      <c r="L517" s="5" t="n">
        <f aca="false">IF(H517=0,0,I517/H517)</f>
        <v>0</v>
      </c>
      <c r="M517" s="6" t="n">
        <f aca="false">IF(I517=0,0,J517/I517)</f>
        <v>0</v>
      </c>
    </row>
    <row r="518" customFormat="false" ht="15" hidden="false" customHeight="false" outlineLevel="0" collapsed="false">
      <c r="A518" s="2" t="n">
        <v>517</v>
      </c>
      <c r="B518" s="3" t="s">
        <v>110</v>
      </c>
      <c r="C518" s="3" t="s">
        <v>94</v>
      </c>
      <c r="D518" s="3" t="s">
        <v>22</v>
      </c>
      <c r="E518" s="3" t="s">
        <v>16</v>
      </c>
      <c r="F518" s="3" t="s">
        <v>23</v>
      </c>
      <c r="G518" s="3" t="s">
        <v>30</v>
      </c>
      <c r="H518" s="2" t="n">
        <v>7</v>
      </c>
      <c r="I518" s="2" t="n">
        <v>1</v>
      </c>
      <c r="J518" s="4" t="n">
        <v>107.37</v>
      </c>
      <c r="K518" s="4" t="n">
        <v>45.5</v>
      </c>
      <c r="L518" s="5" t="n">
        <f aca="false">IF(H518=0,0,I518/H518)</f>
        <v>0.142857142857143</v>
      </c>
      <c r="M518" s="6" t="n">
        <f aca="false">IF(I518=0,0,J518/I518)</f>
        <v>107.37</v>
      </c>
    </row>
    <row r="519" customFormat="false" ht="15" hidden="false" customHeight="false" outlineLevel="0" collapsed="false">
      <c r="A519" s="2" t="n">
        <v>518</v>
      </c>
      <c r="B519" s="3" t="s">
        <v>110</v>
      </c>
      <c r="C519" s="3" t="s">
        <v>94</v>
      </c>
      <c r="D519" s="3" t="s">
        <v>22</v>
      </c>
      <c r="E519" s="3" t="s">
        <v>28</v>
      </c>
      <c r="F519" s="3" t="s">
        <v>23</v>
      </c>
      <c r="G519" s="3" t="s">
        <v>21</v>
      </c>
      <c r="H519" s="2" t="n">
        <v>7</v>
      </c>
      <c r="I519" s="2" t="n">
        <v>0</v>
      </c>
      <c r="J519" s="4" t="n">
        <v>0</v>
      </c>
      <c r="K519" s="4" t="n">
        <v>0</v>
      </c>
      <c r="L519" s="5" t="n">
        <f aca="false">IF(H519=0,0,I519/H519)</f>
        <v>0</v>
      </c>
      <c r="M519" s="6" t="n">
        <f aca="false">IF(I519=0,0,J519/I519)</f>
        <v>0</v>
      </c>
    </row>
    <row r="520" customFormat="false" ht="15" hidden="false" customHeight="false" outlineLevel="0" collapsed="false">
      <c r="A520" s="2" t="n">
        <v>519</v>
      </c>
      <c r="B520" s="3" t="s">
        <v>110</v>
      </c>
      <c r="C520" s="3" t="s">
        <v>94</v>
      </c>
      <c r="D520" s="3" t="s">
        <v>19</v>
      </c>
      <c r="E520" s="3" t="s">
        <v>16</v>
      </c>
      <c r="F520" s="3" t="s">
        <v>17</v>
      </c>
      <c r="G520" s="3" t="s">
        <v>30</v>
      </c>
      <c r="H520" s="2" t="n">
        <v>4</v>
      </c>
      <c r="I520" s="2" t="n">
        <v>0</v>
      </c>
      <c r="J520" s="4" t="n">
        <v>0</v>
      </c>
      <c r="K520" s="4" t="n">
        <v>0</v>
      </c>
      <c r="L520" s="5" t="n">
        <f aca="false">IF(H520=0,0,I520/H520)</f>
        <v>0</v>
      </c>
      <c r="M520" s="6" t="n">
        <f aca="false">IF(I520=0,0,J520/I520)</f>
        <v>0</v>
      </c>
    </row>
    <row r="521" customFormat="false" ht="15" hidden="false" customHeight="false" outlineLevel="0" collapsed="false">
      <c r="A521" s="2" t="n">
        <v>520</v>
      </c>
      <c r="B521" s="3" t="s">
        <v>110</v>
      </c>
      <c r="C521" s="3" t="s">
        <v>94</v>
      </c>
      <c r="D521" s="3" t="s">
        <v>22</v>
      </c>
      <c r="E521" s="3" t="s">
        <v>16</v>
      </c>
      <c r="F521" s="3" t="s">
        <v>20</v>
      </c>
      <c r="G521" s="3" t="s">
        <v>18</v>
      </c>
      <c r="H521" s="2" t="n">
        <v>3</v>
      </c>
      <c r="I521" s="2" t="n">
        <v>1</v>
      </c>
      <c r="J521" s="4" t="n">
        <v>145.82</v>
      </c>
      <c r="K521" s="4" t="n">
        <v>59.74</v>
      </c>
      <c r="L521" s="5" t="n">
        <f aca="false">IF(H521=0,0,I521/H521)</f>
        <v>0.333333333333333</v>
      </c>
      <c r="M521" s="6" t="n">
        <f aca="false">IF(I521=0,0,J521/I521)</f>
        <v>145.82</v>
      </c>
    </row>
    <row r="522" customFormat="false" ht="15" hidden="false" customHeight="false" outlineLevel="0" collapsed="false">
      <c r="A522" s="2" t="n">
        <v>521</v>
      </c>
      <c r="B522" s="3" t="s">
        <v>110</v>
      </c>
      <c r="C522" s="3" t="s">
        <v>94</v>
      </c>
      <c r="D522" s="3" t="s">
        <v>24</v>
      </c>
      <c r="E522" s="3" t="s">
        <v>33</v>
      </c>
      <c r="F522" s="3" t="s">
        <v>20</v>
      </c>
      <c r="G522" s="3" t="s">
        <v>18</v>
      </c>
      <c r="H522" s="2" t="n">
        <v>7</v>
      </c>
      <c r="I522" s="2" t="n">
        <v>1</v>
      </c>
      <c r="J522" s="4" t="n">
        <v>292.27</v>
      </c>
      <c r="K522" s="4" t="n">
        <v>77.06</v>
      </c>
      <c r="L522" s="5" t="n">
        <f aca="false">IF(H522=0,0,I522/H522)</f>
        <v>0.142857142857143</v>
      </c>
      <c r="M522" s="6" t="n">
        <f aca="false">IF(I522=0,0,J522/I522)</f>
        <v>292.27</v>
      </c>
    </row>
    <row r="523" customFormat="false" ht="15" hidden="false" customHeight="false" outlineLevel="0" collapsed="false">
      <c r="A523" s="2" t="n">
        <v>522</v>
      </c>
      <c r="B523" s="3" t="s">
        <v>110</v>
      </c>
      <c r="C523" s="3" t="s">
        <v>94</v>
      </c>
      <c r="D523" s="3" t="s">
        <v>24</v>
      </c>
      <c r="E523" s="3" t="s">
        <v>16</v>
      </c>
      <c r="F523" s="3" t="s">
        <v>20</v>
      </c>
      <c r="G523" s="3" t="s">
        <v>30</v>
      </c>
      <c r="H523" s="2" t="n">
        <v>5</v>
      </c>
      <c r="I523" s="2" t="n">
        <v>1</v>
      </c>
      <c r="J523" s="4" t="n">
        <v>341.46</v>
      </c>
      <c r="K523" s="4" t="n">
        <v>81.84</v>
      </c>
      <c r="L523" s="5" t="n">
        <f aca="false">IF(H523=0,0,I523/H523)</f>
        <v>0.2</v>
      </c>
      <c r="M523" s="6" t="n">
        <f aca="false">IF(I523=0,0,J523/I523)</f>
        <v>341.46</v>
      </c>
    </row>
    <row r="524" customFormat="false" ht="15" hidden="false" customHeight="false" outlineLevel="0" collapsed="false">
      <c r="A524" s="2" t="n">
        <v>523</v>
      </c>
      <c r="B524" s="3" t="s">
        <v>110</v>
      </c>
      <c r="C524" s="3" t="s">
        <v>94</v>
      </c>
      <c r="D524" s="3" t="s">
        <v>15</v>
      </c>
      <c r="E524" s="3" t="s">
        <v>16</v>
      </c>
      <c r="F524" s="3" t="s">
        <v>29</v>
      </c>
      <c r="G524" s="3" t="s">
        <v>26</v>
      </c>
      <c r="H524" s="2" t="n">
        <v>7</v>
      </c>
      <c r="I524" s="2" t="n">
        <v>4</v>
      </c>
      <c r="J524" s="4" t="n">
        <v>745.59</v>
      </c>
      <c r="K524" s="4" t="n">
        <v>227.54</v>
      </c>
      <c r="L524" s="5" t="n">
        <f aca="false">IF(H524=0,0,I524/H524)</f>
        <v>0.571428571428571</v>
      </c>
      <c r="M524" s="6" t="n">
        <f aca="false">IF(I524=0,0,J524/I524)</f>
        <v>186.3975</v>
      </c>
    </row>
    <row r="525" customFormat="false" ht="15" hidden="false" customHeight="false" outlineLevel="0" collapsed="false">
      <c r="A525" s="2" t="n">
        <v>524</v>
      </c>
      <c r="B525" s="3" t="s">
        <v>111</v>
      </c>
      <c r="C525" s="3" t="s">
        <v>94</v>
      </c>
      <c r="D525" s="3" t="s">
        <v>15</v>
      </c>
      <c r="E525" s="3" t="s">
        <v>16</v>
      </c>
      <c r="F525" s="3" t="s">
        <v>23</v>
      </c>
      <c r="G525" s="3" t="s">
        <v>26</v>
      </c>
      <c r="H525" s="2" t="n">
        <v>10</v>
      </c>
      <c r="I525" s="2" t="n">
        <v>0</v>
      </c>
      <c r="J525" s="4" t="n">
        <v>0</v>
      </c>
      <c r="K525" s="4" t="n">
        <v>0</v>
      </c>
      <c r="L525" s="5" t="n">
        <f aca="false">IF(H525=0,0,I525/H525)</f>
        <v>0</v>
      </c>
      <c r="M525" s="6" t="n">
        <f aca="false">IF(I525=0,0,J525/I525)</f>
        <v>0</v>
      </c>
    </row>
    <row r="526" customFormat="false" ht="15" hidden="false" customHeight="false" outlineLevel="0" collapsed="false">
      <c r="A526" s="2" t="n">
        <v>525</v>
      </c>
      <c r="B526" s="3" t="s">
        <v>111</v>
      </c>
      <c r="C526" s="3" t="s">
        <v>94</v>
      </c>
      <c r="D526" s="3" t="s">
        <v>19</v>
      </c>
      <c r="E526" s="3" t="s">
        <v>25</v>
      </c>
      <c r="F526" s="3" t="s">
        <v>23</v>
      </c>
      <c r="G526" s="3" t="s">
        <v>18</v>
      </c>
      <c r="H526" s="2" t="n">
        <v>5</v>
      </c>
      <c r="I526" s="2" t="n">
        <v>2</v>
      </c>
      <c r="J526" s="4" t="n">
        <v>2004.79</v>
      </c>
      <c r="K526" s="4" t="n">
        <v>292.14</v>
      </c>
      <c r="L526" s="5" t="n">
        <f aca="false">IF(H526=0,0,I526/H526)</f>
        <v>0.4</v>
      </c>
      <c r="M526" s="6" t="n">
        <f aca="false">IF(I526=0,0,J526/I526)</f>
        <v>1002.395</v>
      </c>
    </row>
    <row r="527" customFormat="false" ht="15" hidden="false" customHeight="false" outlineLevel="0" collapsed="false">
      <c r="A527" s="2" t="n">
        <v>526</v>
      </c>
      <c r="B527" s="3" t="s">
        <v>111</v>
      </c>
      <c r="C527" s="3" t="s">
        <v>94</v>
      </c>
      <c r="D527" s="3" t="s">
        <v>24</v>
      </c>
      <c r="E527" s="3" t="s">
        <v>25</v>
      </c>
      <c r="F527" s="3" t="s">
        <v>20</v>
      </c>
      <c r="G527" s="3" t="s">
        <v>18</v>
      </c>
      <c r="H527" s="2" t="n">
        <v>9</v>
      </c>
      <c r="I527" s="2" t="n">
        <v>2</v>
      </c>
      <c r="J527" s="4" t="n">
        <v>582.34</v>
      </c>
      <c r="K527" s="4" t="n">
        <v>134.83</v>
      </c>
      <c r="L527" s="5" t="n">
        <f aca="false">IF(H527=0,0,I527/H527)</f>
        <v>0.222222222222222</v>
      </c>
      <c r="M527" s="6" t="n">
        <f aca="false">IF(I527=0,0,J527/I527)</f>
        <v>291.17</v>
      </c>
    </row>
    <row r="528" customFormat="false" ht="15" hidden="false" customHeight="false" outlineLevel="0" collapsed="false">
      <c r="A528" s="2" t="n">
        <v>527</v>
      </c>
      <c r="B528" s="3" t="s">
        <v>111</v>
      </c>
      <c r="C528" s="3" t="s">
        <v>94</v>
      </c>
      <c r="D528" s="3" t="s">
        <v>24</v>
      </c>
      <c r="E528" s="3" t="s">
        <v>33</v>
      </c>
      <c r="F528" s="3" t="s">
        <v>23</v>
      </c>
      <c r="G528" s="3" t="s">
        <v>34</v>
      </c>
      <c r="H528" s="2" t="n">
        <v>6</v>
      </c>
      <c r="I528" s="2" t="n">
        <v>0</v>
      </c>
      <c r="J528" s="4" t="n">
        <v>0</v>
      </c>
      <c r="K528" s="4" t="n">
        <v>0</v>
      </c>
      <c r="L528" s="5" t="n">
        <f aca="false">IF(H528=0,0,I528/H528)</f>
        <v>0</v>
      </c>
      <c r="M528" s="6" t="n">
        <f aca="false">IF(I528=0,0,J528/I528)</f>
        <v>0</v>
      </c>
    </row>
    <row r="529" customFormat="false" ht="15" hidden="false" customHeight="false" outlineLevel="0" collapsed="false">
      <c r="A529" s="2" t="n">
        <v>528</v>
      </c>
      <c r="B529" s="3" t="s">
        <v>111</v>
      </c>
      <c r="C529" s="3" t="s">
        <v>94</v>
      </c>
      <c r="D529" s="3" t="s">
        <v>19</v>
      </c>
      <c r="E529" s="3" t="s">
        <v>33</v>
      </c>
      <c r="F529" s="3" t="s">
        <v>23</v>
      </c>
      <c r="G529" s="3" t="s">
        <v>18</v>
      </c>
      <c r="H529" s="2" t="n">
        <v>11</v>
      </c>
      <c r="I529" s="2" t="n">
        <v>2</v>
      </c>
      <c r="J529" s="4" t="n">
        <v>1592.16</v>
      </c>
      <c r="K529" s="4" t="n">
        <v>216.58</v>
      </c>
      <c r="L529" s="5" t="n">
        <f aca="false">IF(H529=0,0,I529/H529)</f>
        <v>0.181818181818182</v>
      </c>
      <c r="M529" s="6" t="n">
        <f aca="false">IF(I529=0,0,J529/I529)</f>
        <v>796.08</v>
      </c>
    </row>
    <row r="530" customFormat="false" ht="15" hidden="false" customHeight="false" outlineLevel="0" collapsed="false">
      <c r="A530" s="2" t="n">
        <v>529</v>
      </c>
      <c r="B530" s="3" t="s">
        <v>111</v>
      </c>
      <c r="C530" s="3" t="s">
        <v>94</v>
      </c>
      <c r="D530" s="3" t="s">
        <v>24</v>
      </c>
      <c r="E530" s="3" t="s">
        <v>28</v>
      </c>
      <c r="F530" s="3" t="s">
        <v>20</v>
      </c>
      <c r="G530" s="3" t="s">
        <v>30</v>
      </c>
      <c r="H530" s="2" t="n">
        <v>5</v>
      </c>
      <c r="I530" s="2" t="n">
        <v>2</v>
      </c>
      <c r="J530" s="4" t="n">
        <v>595.97</v>
      </c>
      <c r="K530" s="4" t="n">
        <v>138.66</v>
      </c>
      <c r="L530" s="5" t="n">
        <f aca="false">IF(H530=0,0,I530/H530)</f>
        <v>0.4</v>
      </c>
      <c r="M530" s="6" t="n">
        <f aca="false">IF(I530=0,0,J530/I530)</f>
        <v>297.985</v>
      </c>
    </row>
    <row r="531" customFormat="false" ht="15" hidden="false" customHeight="false" outlineLevel="0" collapsed="false">
      <c r="A531" s="2" t="n">
        <v>530</v>
      </c>
      <c r="B531" s="3" t="s">
        <v>111</v>
      </c>
      <c r="C531" s="3" t="s">
        <v>94</v>
      </c>
      <c r="D531" s="3" t="s">
        <v>19</v>
      </c>
      <c r="E531" s="3" t="s">
        <v>25</v>
      </c>
      <c r="F531" s="3" t="s">
        <v>23</v>
      </c>
      <c r="G531" s="3" t="s">
        <v>30</v>
      </c>
      <c r="H531" s="2" t="n">
        <v>9</v>
      </c>
      <c r="I531" s="2" t="n">
        <v>1</v>
      </c>
      <c r="J531" s="4" t="n">
        <v>965.66</v>
      </c>
      <c r="K531" s="4" t="n">
        <v>142.45</v>
      </c>
      <c r="L531" s="5" t="n">
        <f aca="false">IF(H531=0,0,I531/H531)</f>
        <v>0.111111111111111</v>
      </c>
      <c r="M531" s="6" t="n">
        <f aca="false">IF(I531=0,0,J531/I531)</f>
        <v>965.66</v>
      </c>
    </row>
    <row r="532" customFormat="false" ht="15" hidden="false" customHeight="false" outlineLevel="0" collapsed="false">
      <c r="A532" s="2" t="n">
        <v>531</v>
      </c>
      <c r="B532" s="3" t="s">
        <v>111</v>
      </c>
      <c r="C532" s="3" t="s">
        <v>94</v>
      </c>
      <c r="D532" s="3" t="s">
        <v>24</v>
      </c>
      <c r="E532" s="3" t="s">
        <v>25</v>
      </c>
      <c r="F532" s="3" t="s">
        <v>23</v>
      </c>
      <c r="G532" s="3" t="s">
        <v>31</v>
      </c>
      <c r="H532" s="2" t="n">
        <v>6</v>
      </c>
      <c r="I532" s="2" t="n">
        <v>3</v>
      </c>
      <c r="J532" s="4" t="n">
        <v>1052.07</v>
      </c>
      <c r="K532" s="4" t="n">
        <v>264.08</v>
      </c>
      <c r="L532" s="5" t="n">
        <f aca="false">IF(H532=0,0,I532/H532)</f>
        <v>0.5</v>
      </c>
      <c r="M532" s="6" t="n">
        <f aca="false">IF(I532=0,0,J532/I532)</f>
        <v>350.69</v>
      </c>
    </row>
    <row r="533" customFormat="false" ht="15" hidden="false" customHeight="false" outlineLevel="0" collapsed="false">
      <c r="A533" s="2" t="n">
        <v>532</v>
      </c>
      <c r="B533" s="3" t="s">
        <v>111</v>
      </c>
      <c r="C533" s="3" t="s">
        <v>94</v>
      </c>
      <c r="D533" s="3" t="s">
        <v>15</v>
      </c>
      <c r="E533" s="3" t="s">
        <v>25</v>
      </c>
      <c r="F533" s="3" t="s">
        <v>20</v>
      </c>
      <c r="G533" s="3" t="s">
        <v>34</v>
      </c>
      <c r="H533" s="2" t="n">
        <v>8</v>
      </c>
      <c r="I533" s="2" t="n">
        <v>2</v>
      </c>
      <c r="J533" s="4" t="n">
        <v>413.91</v>
      </c>
      <c r="K533" s="4" t="n">
        <v>126.13</v>
      </c>
      <c r="L533" s="5" t="n">
        <f aca="false">IF(H533=0,0,I533/H533)</f>
        <v>0.25</v>
      </c>
      <c r="M533" s="6" t="n">
        <f aca="false">IF(I533=0,0,J533/I533)</f>
        <v>206.955</v>
      </c>
    </row>
    <row r="534" customFormat="false" ht="15" hidden="false" customHeight="false" outlineLevel="0" collapsed="false">
      <c r="A534" s="2" t="n">
        <v>533</v>
      </c>
      <c r="B534" s="3" t="s">
        <v>111</v>
      </c>
      <c r="C534" s="3" t="s">
        <v>94</v>
      </c>
      <c r="D534" s="3" t="s">
        <v>22</v>
      </c>
      <c r="E534" s="3" t="s">
        <v>33</v>
      </c>
      <c r="F534" s="3" t="s">
        <v>29</v>
      </c>
      <c r="G534" s="3" t="s">
        <v>18</v>
      </c>
      <c r="H534" s="2" t="n">
        <v>7</v>
      </c>
      <c r="I534" s="2" t="n">
        <v>3</v>
      </c>
      <c r="J534" s="4" t="n">
        <v>342.05</v>
      </c>
      <c r="K534" s="4" t="n">
        <v>151.32</v>
      </c>
      <c r="L534" s="5" t="n">
        <f aca="false">IF(H534=0,0,I534/H534)</f>
        <v>0.428571428571429</v>
      </c>
      <c r="M534" s="6" t="n">
        <f aca="false">IF(I534=0,0,J534/I534)</f>
        <v>114.016666666667</v>
      </c>
    </row>
    <row r="535" customFormat="false" ht="15" hidden="false" customHeight="false" outlineLevel="0" collapsed="false">
      <c r="A535" s="2" t="n">
        <v>534</v>
      </c>
      <c r="B535" s="3" t="s">
        <v>111</v>
      </c>
      <c r="C535" s="3" t="s">
        <v>94</v>
      </c>
      <c r="D535" s="3" t="s">
        <v>22</v>
      </c>
      <c r="E535" s="3" t="s">
        <v>33</v>
      </c>
      <c r="F535" s="3" t="s">
        <v>23</v>
      </c>
      <c r="G535" s="3" t="s">
        <v>34</v>
      </c>
      <c r="H535" s="2" t="n">
        <v>9</v>
      </c>
      <c r="I535" s="2" t="n">
        <v>6</v>
      </c>
      <c r="J535" s="4" t="n">
        <v>907.31</v>
      </c>
      <c r="K535" s="4" t="n">
        <v>369.35</v>
      </c>
      <c r="L535" s="5" t="n">
        <f aca="false">IF(H535=0,0,I535/H535)</f>
        <v>0.666666666666667</v>
      </c>
      <c r="M535" s="6" t="n">
        <f aca="false">IF(I535=0,0,J535/I535)</f>
        <v>151.218333333333</v>
      </c>
    </row>
    <row r="536" customFormat="false" ht="15" hidden="false" customHeight="false" outlineLevel="0" collapsed="false">
      <c r="A536" s="2" t="n">
        <v>535</v>
      </c>
      <c r="B536" s="3" t="s">
        <v>112</v>
      </c>
      <c r="C536" s="3" t="s">
        <v>94</v>
      </c>
      <c r="D536" s="3" t="s">
        <v>15</v>
      </c>
      <c r="E536" s="3" t="s">
        <v>16</v>
      </c>
      <c r="F536" s="3" t="s">
        <v>17</v>
      </c>
      <c r="G536" s="3" t="s">
        <v>26</v>
      </c>
      <c r="H536" s="2" t="n">
        <v>11</v>
      </c>
      <c r="I536" s="2" t="n">
        <v>1</v>
      </c>
      <c r="J536" s="4" t="n">
        <v>221.39</v>
      </c>
      <c r="K536" s="4" t="n">
        <v>64.6</v>
      </c>
      <c r="L536" s="5" t="n">
        <f aca="false">IF(H536=0,0,I536/H536)</f>
        <v>0.0909090909090909</v>
      </c>
      <c r="M536" s="6" t="n">
        <f aca="false">IF(I536=0,0,J536/I536)</f>
        <v>221.39</v>
      </c>
    </row>
    <row r="537" customFormat="false" ht="15" hidden="false" customHeight="false" outlineLevel="0" collapsed="false">
      <c r="A537" s="2" t="n">
        <v>536</v>
      </c>
      <c r="B537" s="3" t="s">
        <v>112</v>
      </c>
      <c r="C537" s="3" t="s">
        <v>94</v>
      </c>
      <c r="D537" s="3" t="s">
        <v>19</v>
      </c>
      <c r="E537" s="3" t="s">
        <v>25</v>
      </c>
      <c r="F537" s="3" t="s">
        <v>17</v>
      </c>
      <c r="G537" s="3" t="s">
        <v>26</v>
      </c>
      <c r="H537" s="2" t="n">
        <v>7</v>
      </c>
      <c r="I537" s="2" t="n">
        <v>3</v>
      </c>
      <c r="J537" s="4" t="n">
        <v>2442.92</v>
      </c>
      <c r="K537" s="4" t="n">
        <v>346.19</v>
      </c>
      <c r="L537" s="5" t="n">
        <f aca="false">IF(H537=0,0,I537/H537)</f>
        <v>0.428571428571429</v>
      </c>
      <c r="M537" s="6" t="n">
        <f aca="false">IF(I537=0,0,J537/I537)</f>
        <v>814.306666666667</v>
      </c>
    </row>
    <row r="538" customFormat="false" ht="15" hidden="false" customHeight="false" outlineLevel="0" collapsed="false">
      <c r="A538" s="2" t="n">
        <v>537</v>
      </c>
      <c r="B538" s="3" t="s">
        <v>112</v>
      </c>
      <c r="C538" s="3" t="s">
        <v>94</v>
      </c>
      <c r="D538" s="3" t="s">
        <v>15</v>
      </c>
      <c r="E538" s="3" t="s">
        <v>16</v>
      </c>
      <c r="F538" s="3" t="s">
        <v>29</v>
      </c>
      <c r="G538" s="3" t="s">
        <v>30</v>
      </c>
      <c r="H538" s="2" t="n">
        <v>8</v>
      </c>
      <c r="I538" s="2" t="n">
        <v>2</v>
      </c>
      <c r="J538" s="4" t="n">
        <v>402.57</v>
      </c>
      <c r="K538" s="4" t="n">
        <v>118.88</v>
      </c>
      <c r="L538" s="5" t="n">
        <f aca="false">IF(H538=0,0,I538/H538)</f>
        <v>0.25</v>
      </c>
      <c r="M538" s="6" t="n">
        <f aca="false">IF(I538=0,0,J538/I538)</f>
        <v>201.285</v>
      </c>
    </row>
    <row r="539" customFormat="false" ht="15" hidden="false" customHeight="false" outlineLevel="0" collapsed="false">
      <c r="A539" s="2" t="n">
        <v>538</v>
      </c>
      <c r="B539" s="3" t="s">
        <v>112</v>
      </c>
      <c r="C539" s="3" t="s">
        <v>94</v>
      </c>
      <c r="D539" s="3" t="s">
        <v>24</v>
      </c>
      <c r="E539" s="3" t="s">
        <v>25</v>
      </c>
      <c r="F539" s="3" t="s">
        <v>23</v>
      </c>
      <c r="G539" s="3" t="s">
        <v>31</v>
      </c>
      <c r="H539" s="2" t="n">
        <v>12</v>
      </c>
      <c r="I539" s="2" t="n">
        <v>3</v>
      </c>
      <c r="J539" s="4" t="n">
        <v>935.37</v>
      </c>
      <c r="K539" s="4" t="n">
        <v>227.22</v>
      </c>
      <c r="L539" s="5" t="n">
        <f aca="false">IF(H539=0,0,I539/H539)</f>
        <v>0.25</v>
      </c>
      <c r="M539" s="6" t="n">
        <f aca="false">IF(I539=0,0,J539/I539)</f>
        <v>311.79</v>
      </c>
    </row>
    <row r="540" customFormat="false" ht="15" hidden="false" customHeight="false" outlineLevel="0" collapsed="false">
      <c r="A540" s="2" t="n">
        <v>539</v>
      </c>
      <c r="B540" s="3" t="s">
        <v>112</v>
      </c>
      <c r="C540" s="3" t="s">
        <v>94</v>
      </c>
      <c r="D540" s="3" t="s">
        <v>22</v>
      </c>
      <c r="E540" s="3" t="s">
        <v>25</v>
      </c>
      <c r="F540" s="3" t="s">
        <v>23</v>
      </c>
      <c r="G540" s="3" t="s">
        <v>21</v>
      </c>
      <c r="H540" s="2" t="n">
        <v>4</v>
      </c>
      <c r="I540" s="2" t="n">
        <v>0</v>
      </c>
      <c r="J540" s="4" t="n">
        <v>0</v>
      </c>
      <c r="K540" s="4" t="n">
        <v>0</v>
      </c>
      <c r="L540" s="5" t="n">
        <f aca="false">IF(H540=0,0,I540/H540)</f>
        <v>0</v>
      </c>
      <c r="M540" s="6" t="n">
        <f aca="false">IF(I540=0,0,J540/I540)</f>
        <v>0</v>
      </c>
    </row>
    <row r="541" customFormat="false" ht="15" hidden="false" customHeight="false" outlineLevel="0" collapsed="false">
      <c r="A541" s="2" t="n">
        <v>540</v>
      </c>
      <c r="B541" s="3" t="s">
        <v>112</v>
      </c>
      <c r="C541" s="3" t="s">
        <v>94</v>
      </c>
      <c r="D541" s="3" t="s">
        <v>19</v>
      </c>
      <c r="E541" s="3" t="s">
        <v>25</v>
      </c>
      <c r="F541" s="3" t="s">
        <v>29</v>
      </c>
      <c r="G541" s="3" t="s">
        <v>18</v>
      </c>
      <c r="H541" s="2" t="n">
        <v>12</v>
      </c>
      <c r="I541" s="2" t="n">
        <v>1</v>
      </c>
      <c r="J541" s="4" t="n">
        <v>771.03</v>
      </c>
      <c r="K541" s="4" t="n">
        <v>103.99</v>
      </c>
      <c r="L541" s="5" t="n">
        <f aca="false">IF(H541=0,0,I541/H541)</f>
        <v>0.0833333333333333</v>
      </c>
      <c r="M541" s="6" t="n">
        <f aca="false">IF(I541=0,0,J541/I541)</f>
        <v>771.03</v>
      </c>
    </row>
    <row r="542" customFormat="false" ht="15" hidden="false" customHeight="false" outlineLevel="0" collapsed="false">
      <c r="A542" s="2" t="n">
        <v>541</v>
      </c>
      <c r="B542" s="3" t="s">
        <v>112</v>
      </c>
      <c r="C542" s="3" t="s">
        <v>94</v>
      </c>
      <c r="D542" s="3" t="s">
        <v>15</v>
      </c>
      <c r="E542" s="3" t="s">
        <v>16</v>
      </c>
      <c r="F542" s="3" t="s">
        <v>23</v>
      </c>
      <c r="G542" s="3" t="s">
        <v>31</v>
      </c>
      <c r="H542" s="2" t="n">
        <v>4</v>
      </c>
      <c r="I542" s="2" t="n">
        <v>0</v>
      </c>
      <c r="J542" s="4" t="n">
        <v>0</v>
      </c>
      <c r="K542" s="4" t="n">
        <v>0</v>
      </c>
      <c r="L542" s="5" t="n">
        <f aca="false">IF(H542=0,0,I542/H542)</f>
        <v>0</v>
      </c>
      <c r="M542" s="6" t="n">
        <f aca="false">IF(I542=0,0,J542/I542)</f>
        <v>0</v>
      </c>
    </row>
    <row r="543" customFormat="false" ht="15" hidden="false" customHeight="false" outlineLevel="0" collapsed="false">
      <c r="A543" s="2" t="n">
        <v>542</v>
      </c>
      <c r="B543" s="3" t="s">
        <v>112</v>
      </c>
      <c r="C543" s="3" t="s">
        <v>94</v>
      </c>
      <c r="D543" s="3" t="s">
        <v>24</v>
      </c>
      <c r="E543" s="3" t="s">
        <v>25</v>
      </c>
      <c r="F543" s="3" t="s">
        <v>17</v>
      </c>
      <c r="G543" s="3" t="s">
        <v>31</v>
      </c>
      <c r="H543" s="2" t="n">
        <v>7</v>
      </c>
      <c r="I543" s="2" t="n">
        <v>2</v>
      </c>
      <c r="J543" s="4" t="n">
        <v>715.65</v>
      </c>
      <c r="K543" s="4" t="n">
        <v>184.02</v>
      </c>
      <c r="L543" s="5" t="n">
        <f aca="false">IF(H543=0,0,I543/H543)</f>
        <v>0.285714285714286</v>
      </c>
      <c r="M543" s="6" t="n">
        <f aca="false">IF(I543=0,0,J543/I543)</f>
        <v>357.825</v>
      </c>
    </row>
    <row r="544" customFormat="false" ht="15" hidden="false" customHeight="false" outlineLevel="0" collapsed="false">
      <c r="A544" s="2" t="n">
        <v>543</v>
      </c>
      <c r="B544" s="3" t="s">
        <v>112</v>
      </c>
      <c r="C544" s="3" t="s">
        <v>94</v>
      </c>
      <c r="D544" s="3" t="s">
        <v>24</v>
      </c>
      <c r="E544" s="3" t="s">
        <v>28</v>
      </c>
      <c r="F544" s="3" t="s">
        <v>23</v>
      </c>
      <c r="G544" s="3" t="s">
        <v>30</v>
      </c>
      <c r="H544" s="2" t="n">
        <v>8</v>
      </c>
      <c r="I544" s="2" t="n">
        <v>0</v>
      </c>
      <c r="J544" s="4" t="n">
        <v>0</v>
      </c>
      <c r="K544" s="4" t="n">
        <v>0</v>
      </c>
      <c r="L544" s="5" t="n">
        <f aca="false">IF(H544=0,0,I544/H544)</f>
        <v>0</v>
      </c>
      <c r="M544" s="6" t="n">
        <f aca="false">IF(I544=0,0,J544/I544)</f>
        <v>0</v>
      </c>
    </row>
    <row r="545" customFormat="false" ht="15" hidden="false" customHeight="false" outlineLevel="0" collapsed="false">
      <c r="A545" s="2" t="n">
        <v>544</v>
      </c>
      <c r="B545" s="3" t="s">
        <v>112</v>
      </c>
      <c r="C545" s="3" t="s">
        <v>94</v>
      </c>
      <c r="D545" s="3" t="s">
        <v>22</v>
      </c>
      <c r="E545" s="3" t="s">
        <v>25</v>
      </c>
      <c r="F545" s="3" t="s">
        <v>23</v>
      </c>
      <c r="G545" s="3" t="s">
        <v>30</v>
      </c>
      <c r="H545" s="2" t="n">
        <v>8</v>
      </c>
      <c r="I545" s="2" t="n">
        <v>3</v>
      </c>
      <c r="J545" s="4" t="n">
        <v>364.24</v>
      </c>
      <c r="K545" s="4" t="n">
        <v>143.74</v>
      </c>
      <c r="L545" s="5" t="n">
        <f aca="false">IF(H545=0,0,I545/H545)</f>
        <v>0.375</v>
      </c>
      <c r="M545" s="6" t="n">
        <f aca="false">IF(I545=0,0,J545/I545)</f>
        <v>121.413333333333</v>
      </c>
    </row>
    <row r="546" customFormat="false" ht="15" hidden="false" customHeight="false" outlineLevel="0" collapsed="false">
      <c r="A546" s="2" t="n">
        <v>545</v>
      </c>
      <c r="B546" s="3" t="s">
        <v>112</v>
      </c>
      <c r="C546" s="3" t="s">
        <v>94</v>
      </c>
      <c r="D546" s="3" t="s">
        <v>27</v>
      </c>
      <c r="E546" s="3" t="s">
        <v>25</v>
      </c>
      <c r="F546" s="3" t="s">
        <v>29</v>
      </c>
      <c r="G546" s="3" t="s">
        <v>26</v>
      </c>
      <c r="H546" s="2" t="n">
        <v>4</v>
      </c>
      <c r="I546" s="2" t="n">
        <v>1</v>
      </c>
      <c r="J546" s="4" t="n">
        <v>1497.01</v>
      </c>
      <c r="K546" s="4" t="n">
        <v>253.9</v>
      </c>
      <c r="L546" s="5" t="n">
        <f aca="false">IF(H546=0,0,I546/H546)</f>
        <v>0.25</v>
      </c>
      <c r="M546" s="6" t="n">
        <f aca="false">IF(I546=0,0,J546/I546)</f>
        <v>1497.01</v>
      </c>
    </row>
    <row r="547" customFormat="false" ht="15" hidden="false" customHeight="false" outlineLevel="0" collapsed="false">
      <c r="A547" s="2" t="n">
        <v>546</v>
      </c>
      <c r="B547" s="3" t="s">
        <v>112</v>
      </c>
      <c r="C547" s="3" t="s">
        <v>94</v>
      </c>
      <c r="D547" s="3" t="s">
        <v>19</v>
      </c>
      <c r="E547" s="3" t="s">
        <v>25</v>
      </c>
      <c r="F547" s="3" t="s">
        <v>23</v>
      </c>
      <c r="G547" s="3" t="s">
        <v>31</v>
      </c>
      <c r="H547" s="2" t="n">
        <v>4</v>
      </c>
      <c r="I547" s="2" t="n">
        <v>1</v>
      </c>
      <c r="J547" s="4" t="n">
        <v>790.48</v>
      </c>
      <c r="K547" s="4" t="n">
        <v>106.1</v>
      </c>
      <c r="L547" s="5" t="n">
        <f aca="false">IF(H547=0,0,I547/H547)</f>
        <v>0.25</v>
      </c>
      <c r="M547" s="6" t="n">
        <f aca="false">IF(I547=0,0,J547/I547)</f>
        <v>790.48</v>
      </c>
    </row>
    <row r="548" customFormat="false" ht="15" hidden="false" customHeight="false" outlineLevel="0" collapsed="false">
      <c r="A548" s="2" t="n">
        <v>547</v>
      </c>
      <c r="B548" s="3" t="s">
        <v>112</v>
      </c>
      <c r="C548" s="3" t="s">
        <v>94</v>
      </c>
      <c r="D548" s="3" t="s">
        <v>19</v>
      </c>
      <c r="E548" s="3" t="s">
        <v>33</v>
      </c>
      <c r="F548" s="3" t="s">
        <v>23</v>
      </c>
      <c r="G548" s="3" t="s">
        <v>31</v>
      </c>
      <c r="H548" s="2" t="n">
        <v>6</v>
      </c>
      <c r="I548" s="2" t="n">
        <v>0</v>
      </c>
      <c r="J548" s="4" t="n">
        <v>0</v>
      </c>
      <c r="K548" s="4" t="n">
        <v>0</v>
      </c>
      <c r="L548" s="5" t="n">
        <f aca="false">IF(H548=0,0,I548/H548)</f>
        <v>0</v>
      </c>
      <c r="M548" s="6" t="n">
        <f aca="false">IF(I548=0,0,J548/I548)</f>
        <v>0</v>
      </c>
    </row>
    <row r="549" customFormat="false" ht="15" hidden="false" customHeight="false" outlineLevel="0" collapsed="false">
      <c r="A549" s="2" t="n">
        <v>548</v>
      </c>
      <c r="B549" s="3" t="s">
        <v>113</v>
      </c>
      <c r="C549" s="3" t="s">
        <v>94</v>
      </c>
      <c r="D549" s="3" t="s">
        <v>22</v>
      </c>
      <c r="E549" s="3" t="s">
        <v>28</v>
      </c>
      <c r="F549" s="3" t="s">
        <v>29</v>
      </c>
      <c r="G549" s="3" t="s">
        <v>34</v>
      </c>
      <c r="H549" s="2" t="n">
        <v>12</v>
      </c>
      <c r="I549" s="2" t="n">
        <v>4</v>
      </c>
      <c r="J549" s="4" t="n">
        <v>383.36</v>
      </c>
      <c r="K549" s="4" t="n">
        <v>148.81</v>
      </c>
      <c r="L549" s="5" t="n">
        <f aca="false">IF(H549=0,0,I549/H549)</f>
        <v>0.333333333333333</v>
      </c>
      <c r="M549" s="6" t="n">
        <f aca="false">IF(I549=0,0,J549/I549)</f>
        <v>95.84</v>
      </c>
    </row>
    <row r="550" customFormat="false" ht="15" hidden="false" customHeight="false" outlineLevel="0" collapsed="false">
      <c r="A550" s="2" t="n">
        <v>549</v>
      </c>
      <c r="B550" s="3" t="s">
        <v>113</v>
      </c>
      <c r="C550" s="3" t="s">
        <v>94</v>
      </c>
      <c r="D550" s="3" t="s">
        <v>15</v>
      </c>
      <c r="E550" s="3" t="s">
        <v>16</v>
      </c>
      <c r="F550" s="3" t="s">
        <v>23</v>
      </c>
      <c r="G550" s="3" t="s">
        <v>31</v>
      </c>
      <c r="H550" s="2" t="n">
        <v>13</v>
      </c>
      <c r="I550" s="2" t="n">
        <v>1</v>
      </c>
      <c r="J550" s="4" t="n">
        <v>206.89</v>
      </c>
      <c r="K550" s="4" t="n">
        <v>62.06</v>
      </c>
      <c r="L550" s="5" t="n">
        <f aca="false">IF(H550=0,0,I550/H550)</f>
        <v>0.0769230769230769</v>
      </c>
      <c r="M550" s="6" t="n">
        <f aca="false">IF(I550=0,0,J550/I550)</f>
        <v>206.89</v>
      </c>
    </row>
    <row r="551" customFormat="false" ht="15" hidden="false" customHeight="false" outlineLevel="0" collapsed="false">
      <c r="A551" s="2" t="n">
        <v>550</v>
      </c>
      <c r="B551" s="3" t="s">
        <v>113</v>
      </c>
      <c r="C551" s="3" t="s">
        <v>94</v>
      </c>
      <c r="D551" s="3" t="s">
        <v>27</v>
      </c>
      <c r="E551" s="3" t="s">
        <v>25</v>
      </c>
      <c r="F551" s="3" t="s">
        <v>23</v>
      </c>
      <c r="G551" s="3" t="s">
        <v>30</v>
      </c>
      <c r="H551" s="2" t="n">
        <v>7</v>
      </c>
      <c r="I551" s="2" t="n">
        <v>1</v>
      </c>
      <c r="J551" s="4" t="n">
        <v>1226.41</v>
      </c>
      <c r="K551" s="4" t="n">
        <v>223.94</v>
      </c>
      <c r="L551" s="5" t="n">
        <f aca="false">IF(H551=0,0,I551/H551)</f>
        <v>0.142857142857143</v>
      </c>
      <c r="M551" s="6" t="n">
        <f aca="false">IF(I551=0,0,J551/I551)</f>
        <v>1226.41</v>
      </c>
    </row>
    <row r="552" customFormat="false" ht="15" hidden="false" customHeight="false" outlineLevel="0" collapsed="false">
      <c r="A552" s="2" t="n">
        <v>551</v>
      </c>
      <c r="B552" s="3" t="s">
        <v>113</v>
      </c>
      <c r="C552" s="3" t="s">
        <v>94</v>
      </c>
      <c r="D552" s="3" t="s">
        <v>24</v>
      </c>
      <c r="E552" s="3" t="s">
        <v>16</v>
      </c>
      <c r="F552" s="3" t="s">
        <v>29</v>
      </c>
      <c r="G552" s="3" t="s">
        <v>26</v>
      </c>
      <c r="H552" s="2" t="n">
        <v>8</v>
      </c>
      <c r="I552" s="2" t="n">
        <v>3</v>
      </c>
      <c r="J552" s="4" t="n">
        <v>723.16</v>
      </c>
      <c r="K552" s="4" t="n">
        <v>168.59</v>
      </c>
      <c r="L552" s="5" t="n">
        <f aca="false">IF(H552=0,0,I552/H552)</f>
        <v>0.375</v>
      </c>
      <c r="M552" s="6" t="n">
        <f aca="false">IF(I552=0,0,J552/I552)</f>
        <v>241.053333333333</v>
      </c>
    </row>
    <row r="553" customFormat="false" ht="15" hidden="false" customHeight="false" outlineLevel="0" collapsed="false">
      <c r="A553" s="2" t="n">
        <v>552</v>
      </c>
      <c r="B553" s="3" t="s">
        <v>113</v>
      </c>
      <c r="C553" s="3" t="s">
        <v>94</v>
      </c>
      <c r="D553" s="3" t="s">
        <v>15</v>
      </c>
      <c r="E553" s="3" t="s">
        <v>33</v>
      </c>
      <c r="F553" s="3" t="s">
        <v>23</v>
      </c>
      <c r="G553" s="3" t="s">
        <v>21</v>
      </c>
      <c r="H553" s="2" t="n">
        <v>10</v>
      </c>
      <c r="I553" s="2" t="n">
        <v>1</v>
      </c>
      <c r="J553" s="4" t="n">
        <v>147.73</v>
      </c>
      <c r="K553" s="4" t="n">
        <v>46.97</v>
      </c>
      <c r="L553" s="5" t="n">
        <f aca="false">IF(H553=0,0,I553/H553)</f>
        <v>0.1</v>
      </c>
      <c r="M553" s="6" t="n">
        <f aca="false">IF(I553=0,0,J553/I553)</f>
        <v>147.73</v>
      </c>
    </row>
    <row r="554" customFormat="false" ht="15" hidden="false" customHeight="false" outlineLevel="0" collapsed="false">
      <c r="A554" s="2" t="n">
        <v>553</v>
      </c>
      <c r="B554" s="3" t="s">
        <v>113</v>
      </c>
      <c r="C554" s="3" t="s">
        <v>94</v>
      </c>
      <c r="D554" s="3" t="s">
        <v>19</v>
      </c>
      <c r="E554" s="3" t="s">
        <v>16</v>
      </c>
      <c r="F554" s="3" t="s">
        <v>29</v>
      </c>
      <c r="G554" s="3" t="s">
        <v>30</v>
      </c>
      <c r="H554" s="2" t="n">
        <v>2</v>
      </c>
      <c r="I554" s="2" t="n">
        <v>2</v>
      </c>
      <c r="J554" s="4" t="n">
        <v>1943.6</v>
      </c>
      <c r="K554" s="4" t="n">
        <v>277.1</v>
      </c>
      <c r="L554" s="5" t="n">
        <f aca="false">IF(H554=0,0,I554/H554)</f>
        <v>1</v>
      </c>
      <c r="M554" s="6" t="n">
        <f aca="false">IF(I554=0,0,J554/I554)</f>
        <v>971.8</v>
      </c>
    </row>
    <row r="555" customFormat="false" ht="15" hidden="false" customHeight="false" outlineLevel="0" collapsed="false">
      <c r="A555" s="2" t="n">
        <v>554</v>
      </c>
      <c r="B555" s="3" t="s">
        <v>113</v>
      </c>
      <c r="C555" s="3" t="s">
        <v>94</v>
      </c>
      <c r="D555" s="3" t="s">
        <v>19</v>
      </c>
      <c r="E555" s="3" t="s">
        <v>28</v>
      </c>
      <c r="F555" s="3" t="s">
        <v>29</v>
      </c>
      <c r="G555" s="3" t="s">
        <v>31</v>
      </c>
      <c r="H555" s="2" t="n">
        <v>6</v>
      </c>
      <c r="I555" s="2" t="n">
        <v>0</v>
      </c>
      <c r="J555" s="4" t="n">
        <v>0</v>
      </c>
      <c r="K555" s="4" t="n">
        <v>0</v>
      </c>
      <c r="L555" s="5" t="n">
        <f aca="false">IF(H555=0,0,I555/H555)</f>
        <v>0</v>
      </c>
      <c r="M555" s="6" t="n">
        <f aca="false">IF(I555=0,0,J555/I555)</f>
        <v>0</v>
      </c>
    </row>
    <row r="556" customFormat="false" ht="15" hidden="false" customHeight="false" outlineLevel="0" collapsed="false">
      <c r="A556" s="2" t="n">
        <v>555</v>
      </c>
      <c r="B556" s="3" t="s">
        <v>114</v>
      </c>
      <c r="C556" s="3" t="s">
        <v>94</v>
      </c>
      <c r="D556" s="3" t="s">
        <v>22</v>
      </c>
      <c r="E556" s="3" t="s">
        <v>25</v>
      </c>
      <c r="F556" s="3" t="s">
        <v>23</v>
      </c>
      <c r="G556" s="3" t="s">
        <v>21</v>
      </c>
      <c r="H556" s="2" t="n">
        <v>4</v>
      </c>
      <c r="I556" s="2" t="n">
        <v>1</v>
      </c>
      <c r="J556" s="4" t="n">
        <v>93.47</v>
      </c>
      <c r="K556" s="4" t="n">
        <v>36.49</v>
      </c>
      <c r="L556" s="5" t="n">
        <f aca="false">IF(H556=0,0,I556/H556)</f>
        <v>0.25</v>
      </c>
      <c r="M556" s="6" t="n">
        <f aca="false">IF(I556=0,0,J556/I556)</f>
        <v>93.47</v>
      </c>
    </row>
    <row r="557" customFormat="false" ht="15" hidden="false" customHeight="false" outlineLevel="0" collapsed="false">
      <c r="A557" s="2" t="n">
        <v>556</v>
      </c>
      <c r="B557" s="3" t="s">
        <v>115</v>
      </c>
      <c r="C557" s="3" t="s">
        <v>94</v>
      </c>
      <c r="D557" s="3" t="s">
        <v>15</v>
      </c>
      <c r="E557" s="3" t="s">
        <v>16</v>
      </c>
      <c r="F557" s="3" t="s">
        <v>23</v>
      </c>
      <c r="G557" s="3" t="s">
        <v>21</v>
      </c>
      <c r="H557" s="2" t="n">
        <v>10</v>
      </c>
      <c r="I557" s="2" t="n">
        <v>1</v>
      </c>
      <c r="J557" s="4" t="n">
        <v>173.47</v>
      </c>
      <c r="K557" s="4" t="n">
        <v>53.92</v>
      </c>
      <c r="L557" s="5" t="n">
        <f aca="false">IF(H557=0,0,I557/H557)</f>
        <v>0.1</v>
      </c>
      <c r="M557" s="6" t="n">
        <f aca="false">IF(I557=0,0,J557/I557)</f>
        <v>173.47</v>
      </c>
    </row>
    <row r="558" customFormat="false" ht="15" hidden="false" customHeight="false" outlineLevel="0" collapsed="false">
      <c r="A558" s="2" t="n">
        <v>557</v>
      </c>
      <c r="B558" s="3" t="s">
        <v>115</v>
      </c>
      <c r="C558" s="3" t="s">
        <v>94</v>
      </c>
      <c r="D558" s="3" t="s">
        <v>19</v>
      </c>
      <c r="E558" s="3" t="s">
        <v>16</v>
      </c>
      <c r="F558" s="3" t="s">
        <v>29</v>
      </c>
      <c r="G558" s="3" t="s">
        <v>30</v>
      </c>
      <c r="H558" s="2" t="n">
        <v>3</v>
      </c>
      <c r="I558" s="2" t="n">
        <v>1</v>
      </c>
      <c r="J558" s="4" t="n">
        <v>900.53</v>
      </c>
      <c r="K558" s="4" t="n">
        <v>118.71</v>
      </c>
      <c r="L558" s="5" t="n">
        <f aca="false">IF(H558=0,0,I558/H558)</f>
        <v>0.333333333333333</v>
      </c>
      <c r="M558" s="6" t="n">
        <f aca="false">IF(I558=0,0,J558/I558)</f>
        <v>900.53</v>
      </c>
    </row>
    <row r="559" customFormat="false" ht="15" hidden="false" customHeight="false" outlineLevel="0" collapsed="false">
      <c r="A559" s="2" t="n">
        <v>558</v>
      </c>
      <c r="B559" s="3" t="s">
        <v>115</v>
      </c>
      <c r="C559" s="3" t="s">
        <v>94</v>
      </c>
      <c r="D559" s="3" t="s">
        <v>19</v>
      </c>
      <c r="E559" s="3" t="s">
        <v>33</v>
      </c>
      <c r="F559" s="3" t="s">
        <v>17</v>
      </c>
      <c r="G559" s="3" t="s">
        <v>30</v>
      </c>
      <c r="H559" s="2" t="n">
        <v>8</v>
      </c>
      <c r="I559" s="2" t="n">
        <v>2</v>
      </c>
      <c r="J559" s="4" t="n">
        <v>1730.36</v>
      </c>
      <c r="K559" s="4" t="n">
        <v>254.39</v>
      </c>
      <c r="L559" s="5" t="n">
        <f aca="false">IF(H559=0,0,I559/H559)</f>
        <v>0.25</v>
      </c>
      <c r="M559" s="6" t="n">
        <f aca="false">IF(I559=0,0,J559/I559)</f>
        <v>865.18</v>
      </c>
    </row>
    <row r="560" customFormat="false" ht="15" hidden="false" customHeight="false" outlineLevel="0" collapsed="false">
      <c r="A560" s="2" t="n">
        <v>559</v>
      </c>
      <c r="B560" s="3" t="s">
        <v>115</v>
      </c>
      <c r="C560" s="3" t="s">
        <v>94</v>
      </c>
      <c r="D560" s="3" t="s">
        <v>27</v>
      </c>
      <c r="E560" s="3" t="s">
        <v>28</v>
      </c>
      <c r="F560" s="3" t="s">
        <v>17</v>
      </c>
      <c r="G560" s="3" t="s">
        <v>31</v>
      </c>
      <c r="H560" s="2" t="n">
        <v>5</v>
      </c>
      <c r="I560" s="2" t="n">
        <v>1</v>
      </c>
      <c r="J560" s="4" t="n">
        <v>1403.59</v>
      </c>
      <c r="K560" s="4" t="n">
        <v>235.58</v>
      </c>
      <c r="L560" s="5" t="n">
        <f aca="false">IF(H560=0,0,I560/H560)</f>
        <v>0.2</v>
      </c>
      <c r="M560" s="6" t="n">
        <f aca="false">IF(I560=0,0,J560/I560)</f>
        <v>1403.59</v>
      </c>
    </row>
    <row r="561" customFormat="false" ht="15" hidden="false" customHeight="false" outlineLevel="0" collapsed="false">
      <c r="A561" s="2" t="n">
        <v>560</v>
      </c>
      <c r="B561" s="3" t="s">
        <v>116</v>
      </c>
      <c r="C561" s="3" t="s">
        <v>94</v>
      </c>
      <c r="D561" s="3" t="s">
        <v>19</v>
      </c>
      <c r="E561" s="3" t="s">
        <v>16</v>
      </c>
      <c r="F561" s="3" t="s">
        <v>23</v>
      </c>
      <c r="G561" s="3" t="s">
        <v>31</v>
      </c>
      <c r="H561" s="2" t="n">
        <v>4</v>
      </c>
      <c r="I561" s="2" t="n">
        <v>0</v>
      </c>
      <c r="J561" s="4" t="n">
        <v>0</v>
      </c>
      <c r="K561" s="4" t="n">
        <v>0</v>
      </c>
      <c r="L561" s="5" t="n">
        <f aca="false">IF(H561=0,0,I561/H561)</f>
        <v>0</v>
      </c>
      <c r="M561" s="6" t="n">
        <f aca="false">IF(I561=0,0,J561/I561)</f>
        <v>0</v>
      </c>
    </row>
    <row r="562" customFormat="false" ht="15" hidden="false" customHeight="false" outlineLevel="0" collapsed="false">
      <c r="A562" s="2" t="n">
        <v>561</v>
      </c>
      <c r="B562" s="3" t="s">
        <v>116</v>
      </c>
      <c r="C562" s="3" t="s">
        <v>94</v>
      </c>
      <c r="D562" s="3" t="s">
        <v>27</v>
      </c>
      <c r="E562" s="3" t="s">
        <v>16</v>
      </c>
      <c r="F562" s="3" t="s">
        <v>23</v>
      </c>
      <c r="G562" s="3" t="s">
        <v>21</v>
      </c>
      <c r="H562" s="2" t="n">
        <v>5</v>
      </c>
      <c r="I562" s="2" t="n">
        <v>1</v>
      </c>
      <c r="J562" s="4" t="n">
        <v>1136.66</v>
      </c>
      <c r="K562" s="4" t="n">
        <v>219.61</v>
      </c>
      <c r="L562" s="5" t="n">
        <f aca="false">IF(H562=0,0,I562/H562)</f>
        <v>0.2</v>
      </c>
      <c r="M562" s="6" t="n">
        <f aca="false">IF(I562=0,0,J562/I562)</f>
        <v>1136.66</v>
      </c>
    </row>
    <row r="563" customFormat="false" ht="15" hidden="false" customHeight="false" outlineLevel="0" collapsed="false">
      <c r="A563" s="2" t="n">
        <v>562</v>
      </c>
      <c r="B563" s="3" t="s">
        <v>116</v>
      </c>
      <c r="C563" s="3" t="s">
        <v>94</v>
      </c>
      <c r="D563" s="3" t="s">
        <v>19</v>
      </c>
      <c r="E563" s="3" t="s">
        <v>16</v>
      </c>
      <c r="F563" s="3" t="s">
        <v>29</v>
      </c>
      <c r="G563" s="3" t="s">
        <v>31</v>
      </c>
      <c r="H563" s="2" t="n">
        <v>8</v>
      </c>
      <c r="I563" s="2" t="n">
        <v>1</v>
      </c>
      <c r="J563" s="4" t="n">
        <v>1053.96</v>
      </c>
      <c r="K563" s="4" t="n">
        <v>137.98</v>
      </c>
      <c r="L563" s="5" t="n">
        <f aca="false">IF(H563=0,0,I563/H563)</f>
        <v>0.125</v>
      </c>
      <c r="M563" s="6" t="n">
        <f aca="false">IF(I563=0,0,J563/I563)</f>
        <v>1053.96</v>
      </c>
    </row>
    <row r="564" customFormat="false" ht="15" hidden="false" customHeight="false" outlineLevel="0" collapsed="false">
      <c r="A564" s="2" t="n">
        <v>563</v>
      </c>
      <c r="B564" s="3" t="s">
        <v>116</v>
      </c>
      <c r="C564" s="3" t="s">
        <v>94</v>
      </c>
      <c r="D564" s="3" t="s">
        <v>27</v>
      </c>
      <c r="E564" s="3" t="s">
        <v>28</v>
      </c>
      <c r="F564" s="3" t="s">
        <v>23</v>
      </c>
      <c r="G564" s="3" t="s">
        <v>30</v>
      </c>
      <c r="H564" s="2" t="n">
        <v>3</v>
      </c>
      <c r="I564" s="2" t="n">
        <v>0</v>
      </c>
      <c r="J564" s="4" t="n">
        <v>0</v>
      </c>
      <c r="K564" s="4" t="n">
        <v>0</v>
      </c>
      <c r="L564" s="5" t="n">
        <f aca="false">IF(H564=0,0,I564/H564)</f>
        <v>0</v>
      </c>
      <c r="M564" s="6" t="n">
        <f aca="false">IF(I564=0,0,J564/I564)</f>
        <v>0</v>
      </c>
    </row>
    <row r="565" customFormat="false" ht="15" hidden="false" customHeight="false" outlineLevel="0" collapsed="false">
      <c r="A565" s="2" t="n">
        <v>564</v>
      </c>
      <c r="B565" s="3" t="s">
        <v>116</v>
      </c>
      <c r="C565" s="3" t="s">
        <v>94</v>
      </c>
      <c r="D565" s="3" t="s">
        <v>19</v>
      </c>
      <c r="E565" s="3" t="s">
        <v>16</v>
      </c>
      <c r="F565" s="3" t="s">
        <v>23</v>
      </c>
      <c r="G565" s="3" t="s">
        <v>18</v>
      </c>
      <c r="H565" s="2" t="n">
        <v>3</v>
      </c>
      <c r="I565" s="2" t="n">
        <v>0</v>
      </c>
      <c r="J565" s="4" t="n">
        <v>0</v>
      </c>
      <c r="K565" s="4" t="n">
        <v>0</v>
      </c>
      <c r="L565" s="5" t="n">
        <f aca="false">IF(H565=0,0,I565/H565)</f>
        <v>0</v>
      </c>
      <c r="M565" s="6" t="n">
        <f aca="false">IF(I565=0,0,J565/I565)</f>
        <v>0</v>
      </c>
    </row>
    <row r="566" customFormat="false" ht="15" hidden="false" customHeight="false" outlineLevel="0" collapsed="false">
      <c r="A566" s="2" t="n">
        <v>565</v>
      </c>
      <c r="B566" s="3" t="s">
        <v>116</v>
      </c>
      <c r="C566" s="3" t="s">
        <v>94</v>
      </c>
      <c r="D566" s="3" t="s">
        <v>27</v>
      </c>
      <c r="E566" s="3" t="s">
        <v>33</v>
      </c>
      <c r="F566" s="3" t="s">
        <v>20</v>
      </c>
      <c r="G566" s="3" t="s">
        <v>21</v>
      </c>
      <c r="H566" s="2" t="n">
        <v>10</v>
      </c>
      <c r="I566" s="2" t="n">
        <v>1</v>
      </c>
      <c r="J566" s="4" t="n">
        <v>1760</v>
      </c>
      <c r="K566" s="4" t="n">
        <v>316.27</v>
      </c>
      <c r="L566" s="5" t="n">
        <f aca="false">IF(H566=0,0,I566/H566)</f>
        <v>0.1</v>
      </c>
      <c r="M566" s="6" t="n">
        <f aca="false">IF(I566=0,0,J566/I566)</f>
        <v>1760</v>
      </c>
    </row>
    <row r="567" customFormat="false" ht="15" hidden="false" customHeight="false" outlineLevel="0" collapsed="false">
      <c r="A567" s="2" t="n">
        <v>566</v>
      </c>
      <c r="B567" s="3" t="s">
        <v>117</v>
      </c>
      <c r="C567" s="3" t="s">
        <v>94</v>
      </c>
      <c r="D567" s="3" t="s">
        <v>19</v>
      </c>
      <c r="E567" s="3" t="s">
        <v>28</v>
      </c>
      <c r="F567" s="3" t="s">
        <v>23</v>
      </c>
      <c r="G567" s="3" t="s">
        <v>26</v>
      </c>
      <c r="H567" s="2" t="n">
        <v>8</v>
      </c>
      <c r="I567" s="2" t="n">
        <v>2</v>
      </c>
      <c r="J567" s="4" t="n">
        <v>1646.09</v>
      </c>
      <c r="K567" s="4" t="n">
        <v>221.71</v>
      </c>
      <c r="L567" s="5" t="n">
        <f aca="false">IF(H567=0,0,I567/H567)</f>
        <v>0.25</v>
      </c>
      <c r="M567" s="6" t="n">
        <f aca="false">IF(I567=0,0,J567/I567)</f>
        <v>823.045</v>
      </c>
    </row>
    <row r="568" customFormat="false" ht="15" hidden="false" customHeight="false" outlineLevel="0" collapsed="false">
      <c r="A568" s="2" t="n">
        <v>567</v>
      </c>
      <c r="B568" s="3" t="s">
        <v>117</v>
      </c>
      <c r="C568" s="3" t="s">
        <v>94</v>
      </c>
      <c r="D568" s="3" t="s">
        <v>22</v>
      </c>
      <c r="E568" s="3" t="s">
        <v>25</v>
      </c>
      <c r="F568" s="3" t="s">
        <v>23</v>
      </c>
      <c r="G568" s="3" t="s">
        <v>26</v>
      </c>
      <c r="H568" s="2" t="n">
        <v>3</v>
      </c>
      <c r="I568" s="2" t="n">
        <v>1</v>
      </c>
      <c r="J568" s="4" t="n">
        <v>141.08</v>
      </c>
      <c r="K568" s="4" t="n">
        <v>62.23</v>
      </c>
      <c r="L568" s="5" t="n">
        <f aca="false">IF(H568=0,0,I568/H568)</f>
        <v>0.333333333333333</v>
      </c>
      <c r="M568" s="6" t="n">
        <f aca="false">IF(I568=0,0,J568/I568)</f>
        <v>141.08</v>
      </c>
    </row>
    <row r="569" customFormat="false" ht="15" hidden="false" customHeight="false" outlineLevel="0" collapsed="false">
      <c r="A569" s="2" t="n">
        <v>568</v>
      </c>
      <c r="B569" s="3" t="s">
        <v>117</v>
      </c>
      <c r="C569" s="3" t="s">
        <v>94</v>
      </c>
      <c r="D569" s="3" t="s">
        <v>22</v>
      </c>
      <c r="E569" s="3" t="s">
        <v>16</v>
      </c>
      <c r="F569" s="3" t="s">
        <v>29</v>
      </c>
      <c r="G569" s="3" t="s">
        <v>34</v>
      </c>
      <c r="H569" s="2" t="n">
        <v>9</v>
      </c>
      <c r="I569" s="2" t="n">
        <v>2</v>
      </c>
      <c r="J569" s="4" t="n">
        <v>301.16</v>
      </c>
      <c r="K569" s="4" t="n">
        <v>124.2</v>
      </c>
      <c r="L569" s="5" t="n">
        <f aca="false">IF(H569=0,0,I569/H569)</f>
        <v>0.222222222222222</v>
      </c>
      <c r="M569" s="6" t="n">
        <f aca="false">IF(I569=0,0,J569/I569)</f>
        <v>150.58</v>
      </c>
    </row>
    <row r="570" customFormat="false" ht="15" hidden="false" customHeight="false" outlineLevel="0" collapsed="false">
      <c r="A570" s="2" t="n">
        <v>569</v>
      </c>
      <c r="B570" s="3" t="s">
        <v>117</v>
      </c>
      <c r="C570" s="3" t="s">
        <v>94</v>
      </c>
      <c r="D570" s="3" t="s">
        <v>24</v>
      </c>
      <c r="E570" s="3" t="s">
        <v>33</v>
      </c>
      <c r="F570" s="3" t="s">
        <v>23</v>
      </c>
      <c r="G570" s="3" t="s">
        <v>34</v>
      </c>
      <c r="H570" s="2" t="n">
        <v>5</v>
      </c>
      <c r="I570" s="2" t="n">
        <v>0</v>
      </c>
      <c r="J570" s="4" t="n">
        <v>0</v>
      </c>
      <c r="K570" s="4" t="n">
        <v>0</v>
      </c>
      <c r="L570" s="5" t="n">
        <f aca="false">IF(H570=0,0,I570/H570)</f>
        <v>0</v>
      </c>
      <c r="M570" s="6" t="n">
        <f aca="false">IF(I570=0,0,J570/I570)</f>
        <v>0</v>
      </c>
    </row>
    <row r="571" customFormat="false" ht="15" hidden="false" customHeight="false" outlineLevel="0" collapsed="false">
      <c r="A571" s="2" t="n">
        <v>570</v>
      </c>
      <c r="B571" s="3" t="s">
        <v>117</v>
      </c>
      <c r="C571" s="3" t="s">
        <v>94</v>
      </c>
      <c r="D571" s="3" t="s">
        <v>22</v>
      </c>
      <c r="E571" s="3" t="s">
        <v>16</v>
      </c>
      <c r="F571" s="3" t="s">
        <v>23</v>
      </c>
      <c r="G571" s="3" t="s">
        <v>34</v>
      </c>
      <c r="H571" s="2" t="n">
        <v>6</v>
      </c>
      <c r="I571" s="2" t="n">
        <v>2</v>
      </c>
      <c r="J571" s="4" t="n">
        <v>247.49</v>
      </c>
      <c r="K571" s="4" t="n">
        <v>111.5</v>
      </c>
      <c r="L571" s="5" t="n">
        <f aca="false">IF(H571=0,0,I571/H571)</f>
        <v>0.333333333333333</v>
      </c>
      <c r="M571" s="6" t="n">
        <f aca="false">IF(I571=0,0,J571/I571)</f>
        <v>123.745</v>
      </c>
    </row>
    <row r="572" customFormat="false" ht="15" hidden="false" customHeight="false" outlineLevel="0" collapsed="false">
      <c r="A572" s="2" t="n">
        <v>571</v>
      </c>
      <c r="B572" s="3" t="s">
        <v>117</v>
      </c>
      <c r="C572" s="3" t="s">
        <v>94</v>
      </c>
      <c r="D572" s="3" t="s">
        <v>22</v>
      </c>
      <c r="E572" s="3" t="s">
        <v>33</v>
      </c>
      <c r="F572" s="3" t="s">
        <v>17</v>
      </c>
      <c r="G572" s="3" t="s">
        <v>21</v>
      </c>
      <c r="H572" s="2" t="n">
        <v>8</v>
      </c>
      <c r="I572" s="2" t="n">
        <v>2</v>
      </c>
      <c r="J572" s="4" t="n">
        <v>256.42</v>
      </c>
      <c r="K572" s="4" t="n">
        <v>105.85</v>
      </c>
      <c r="L572" s="5" t="n">
        <f aca="false">IF(H572=0,0,I572/H572)</f>
        <v>0.25</v>
      </c>
      <c r="M572" s="6" t="n">
        <f aca="false">IF(I572=0,0,J572/I572)</f>
        <v>128.21</v>
      </c>
    </row>
    <row r="573" customFormat="false" ht="15" hidden="false" customHeight="false" outlineLevel="0" collapsed="false">
      <c r="A573" s="2" t="n">
        <v>572</v>
      </c>
      <c r="B573" s="3" t="s">
        <v>117</v>
      </c>
      <c r="C573" s="3" t="s">
        <v>94</v>
      </c>
      <c r="D573" s="3" t="s">
        <v>24</v>
      </c>
      <c r="E573" s="3" t="s">
        <v>25</v>
      </c>
      <c r="F573" s="3" t="s">
        <v>20</v>
      </c>
      <c r="G573" s="3" t="s">
        <v>26</v>
      </c>
      <c r="H573" s="2" t="n">
        <v>7</v>
      </c>
      <c r="I573" s="2" t="n">
        <v>1</v>
      </c>
      <c r="J573" s="4" t="n">
        <v>336.26</v>
      </c>
      <c r="K573" s="4" t="n">
        <v>84.79</v>
      </c>
      <c r="L573" s="5" t="n">
        <f aca="false">IF(H573=0,0,I573/H573)</f>
        <v>0.142857142857143</v>
      </c>
      <c r="M573" s="6" t="n">
        <f aca="false">IF(I573=0,0,J573/I573)</f>
        <v>336.26</v>
      </c>
    </row>
    <row r="574" customFormat="false" ht="15" hidden="false" customHeight="false" outlineLevel="0" collapsed="false">
      <c r="A574" s="2" t="n">
        <v>573</v>
      </c>
      <c r="B574" s="3" t="s">
        <v>117</v>
      </c>
      <c r="C574" s="3" t="s">
        <v>94</v>
      </c>
      <c r="D574" s="3" t="s">
        <v>22</v>
      </c>
      <c r="E574" s="3" t="s">
        <v>16</v>
      </c>
      <c r="F574" s="3" t="s">
        <v>23</v>
      </c>
      <c r="G574" s="3" t="s">
        <v>26</v>
      </c>
      <c r="H574" s="2" t="n">
        <v>6</v>
      </c>
      <c r="I574" s="2" t="n">
        <v>1</v>
      </c>
      <c r="J574" s="4" t="n">
        <v>97.56</v>
      </c>
      <c r="K574" s="4" t="n">
        <v>40.33</v>
      </c>
      <c r="L574" s="5" t="n">
        <f aca="false">IF(H574=0,0,I574/H574)</f>
        <v>0.166666666666667</v>
      </c>
      <c r="M574" s="6" t="n">
        <f aca="false">IF(I574=0,0,J574/I574)</f>
        <v>97.56</v>
      </c>
    </row>
    <row r="575" customFormat="false" ht="15" hidden="false" customHeight="false" outlineLevel="0" collapsed="false">
      <c r="A575" s="2" t="n">
        <v>574</v>
      </c>
      <c r="B575" s="3" t="s">
        <v>118</v>
      </c>
      <c r="C575" s="3" t="s">
        <v>94</v>
      </c>
      <c r="D575" s="3" t="s">
        <v>24</v>
      </c>
      <c r="E575" s="3" t="s">
        <v>25</v>
      </c>
      <c r="F575" s="3" t="s">
        <v>23</v>
      </c>
      <c r="G575" s="3" t="s">
        <v>21</v>
      </c>
      <c r="H575" s="2" t="n">
        <v>8</v>
      </c>
      <c r="I575" s="2" t="n">
        <v>4</v>
      </c>
      <c r="J575" s="4" t="n">
        <v>1345.76</v>
      </c>
      <c r="K575" s="4" t="n">
        <v>320.53</v>
      </c>
      <c r="L575" s="5" t="n">
        <f aca="false">IF(H575=0,0,I575/H575)</f>
        <v>0.5</v>
      </c>
      <c r="M575" s="6" t="n">
        <f aca="false">IF(I575=0,0,J575/I575)</f>
        <v>336.44</v>
      </c>
    </row>
    <row r="576" customFormat="false" ht="15" hidden="false" customHeight="false" outlineLevel="0" collapsed="false">
      <c r="A576" s="2" t="n">
        <v>575</v>
      </c>
      <c r="B576" s="3" t="s">
        <v>118</v>
      </c>
      <c r="C576" s="3" t="s">
        <v>94</v>
      </c>
      <c r="D576" s="3" t="s">
        <v>19</v>
      </c>
      <c r="E576" s="3" t="s">
        <v>16</v>
      </c>
      <c r="F576" s="3" t="s">
        <v>23</v>
      </c>
      <c r="G576" s="3" t="s">
        <v>26</v>
      </c>
      <c r="H576" s="2" t="n">
        <v>10</v>
      </c>
      <c r="I576" s="2" t="n">
        <v>3</v>
      </c>
      <c r="J576" s="4" t="n">
        <v>2837.28</v>
      </c>
      <c r="K576" s="4" t="n">
        <v>387.63</v>
      </c>
      <c r="L576" s="5" t="n">
        <f aca="false">IF(H576=0,0,I576/H576)</f>
        <v>0.3</v>
      </c>
      <c r="M576" s="6" t="n">
        <f aca="false">IF(I576=0,0,J576/I576)</f>
        <v>945.76</v>
      </c>
    </row>
    <row r="577" customFormat="false" ht="15" hidden="false" customHeight="false" outlineLevel="0" collapsed="false">
      <c r="A577" s="2" t="n">
        <v>576</v>
      </c>
      <c r="B577" s="3" t="s">
        <v>118</v>
      </c>
      <c r="C577" s="3" t="s">
        <v>94</v>
      </c>
      <c r="D577" s="3" t="s">
        <v>24</v>
      </c>
      <c r="E577" s="3" t="s">
        <v>25</v>
      </c>
      <c r="F577" s="3" t="s">
        <v>17</v>
      </c>
      <c r="G577" s="3" t="s">
        <v>18</v>
      </c>
      <c r="H577" s="2" t="n">
        <v>5</v>
      </c>
      <c r="I577" s="2" t="n">
        <v>3</v>
      </c>
      <c r="J577" s="4" t="n">
        <v>721.2</v>
      </c>
      <c r="K577" s="4" t="n">
        <v>182.48</v>
      </c>
      <c r="L577" s="5" t="n">
        <f aca="false">IF(H577=0,0,I577/H577)</f>
        <v>0.6</v>
      </c>
      <c r="M577" s="6" t="n">
        <f aca="false">IF(I577=0,0,J577/I577)</f>
        <v>240.4</v>
      </c>
    </row>
    <row r="578" customFormat="false" ht="15" hidden="false" customHeight="false" outlineLevel="0" collapsed="false">
      <c r="A578" s="2" t="n">
        <v>577</v>
      </c>
      <c r="B578" s="3" t="s">
        <v>118</v>
      </c>
      <c r="C578" s="3" t="s">
        <v>94</v>
      </c>
      <c r="D578" s="3" t="s">
        <v>27</v>
      </c>
      <c r="E578" s="3" t="s">
        <v>16</v>
      </c>
      <c r="F578" s="3" t="s">
        <v>17</v>
      </c>
      <c r="G578" s="3" t="s">
        <v>34</v>
      </c>
      <c r="H578" s="2" t="n">
        <v>7</v>
      </c>
      <c r="I578" s="2" t="n">
        <v>0</v>
      </c>
      <c r="J578" s="4" t="n">
        <v>0</v>
      </c>
      <c r="K578" s="4" t="n">
        <v>0</v>
      </c>
      <c r="L578" s="5" t="n">
        <f aca="false">IF(H578=0,0,I578/H578)</f>
        <v>0</v>
      </c>
      <c r="M578" s="6" t="n">
        <f aca="false">IF(I578=0,0,J578/I578)</f>
        <v>0</v>
      </c>
    </row>
    <row r="579" customFormat="false" ht="15" hidden="false" customHeight="false" outlineLevel="0" collapsed="false">
      <c r="A579" s="2" t="n">
        <v>578</v>
      </c>
      <c r="B579" s="3" t="s">
        <v>118</v>
      </c>
      <c r="C579" s="3" t="s">
        <v>94</v>
      </c>
      <c r="D579" s="3" t="s">
        <v>24</v>
      </c>
      <c r="E579" s="3" t="s">
        <v>16</v>
      </c>
      <c r="F579" s="3" t="s">
        <v>23</v>
      </c>
      <c r="G579" s="3" t="s">
        <v>18</v>
      </c>
      <c r="H579" s="2" t="n">
        <v>7</v>
      </c>
      <c r="I579" s="2" t="n">
        <v>1</v>
      </c>
      <c r="J579" s="4" t="n">
        <v>213.08</v>
      </c>
      <c r="K579" s="4" t="n">
        <v>51.16</v>
      </c>
      <c r="L579" s="5" t="n">
        <f aca="false">IF(H579=0,0,I579/H579)</f>
        <v>0.142857142857143</v>
      </c>
      <c r="M579" s="6" t="n">
        <f aca="false">IF(I579=0,0,J579/I579)</f>
        <v>213.08</v>
      </c>
    </row>
    <row r="580" customFormat="false" ht="15" hidden="false" customHeight="false" outlineLevel="0" collapsed="false">
      <c r="A580" s="2" t="n">
        <v>579</v>
      </c>
      <c r="B580" s="3" t="s">
        <v>118</v>
      </c>
      <c r="C580" s="3" t="s">
        <v>94</v>
      </c>
      <c r="D580" s="3" t="s">
        <v>24</v>
      </c>
      <c r="E580" s="3" t="s">
        <v>16</v>
      </c>
      <c r="F580" s="3" t="s">
        <v>23</v>
      </c>
      <c r="G580" s="3" t="s">
        <v>30</v>
      </c>
      <c r="H580" s="2" t="n">
        <v>9</v>
      </c>
      <c r="I580" s="2" t="n">
        <v>1</v>
      </c>
      <c r="J580" s="4" t="n">
        <v>249.5</v>
      </c>
      <c r="K580" s="4" t="n">
        <v>63.31</v>
      </c>
      <c r="L580" s="5" t="n">
        <f aca="false">IF(H580=0,0,I580/H580)</f>
        <v>0.111111111111111</v>
      </c>
      <c r="M580" s="6" t="n">
        <f aca="false">IF(I580=0,0,J580/I580)</f>
        <v>249.5</v>
      </c>
    </row>
    <row r="581" customFormat="false" ht="15" hidden="false" customHeight="false" outlineLevel="0" collapsed="false">
      <c r="A581" s="2" t="n">
        <v>580</v>
      </c>
      <c r="B581" s="3" t="s">
        <v>118</v>
      </c>
      <c r="C581" s="3" t="s">
        <v>94</v>
      </c>
      <c r="D581" s="3" t="s">
        <v>19</v>
      </c>
      <c r="E581" s="3" t="s">
        <v>16</v>
      </c>
      <c r="F581" s="3" t="s">
        <v>20</v>
      </c>
      <c r="G581" s="3" t="s">
        <v>21</v>
      </c>
      <c r="H581" s="2" t="n">
        <v>11</v>
      </c>
      <c r="I581" s="2" t="n">
        <v>3</v>
      </c>
      <c r="J581" s="4" t="n">
        <v>2579.67</v>
      </c>
      <c r="K581" s="4" t="n">
        <v>363.27</v>
      </c>
      <c r="L581" s="5" t="n">
        <f aca="false">IF(H581=0,0,I581/H581)</f>
        <v>0.272727272727273</v>
      </c>
      <c r="M581" s="6" t="n">
        <f aca="false">IF(I581=0,0,J581/I581)</f>
        <v>859.89</v>
      </c>
    </row>
    <row r="582" customFormat="false" ht="15" hidden="false" customHeight="false" outlineLevel="0" collapsed="false">
      <c r="A582" s="2" t="n">
        <v>581</v>
      </c>
      <c r="B582" s="3" t="s">
        <v>118</v>
      </c>
      <c r="C582" s="3" t="s">
        <v>94</v>
      </c>
      <c r="D582" s="3" t="s">
        <v>15</v>
      </c>
      <c r="E582" s="3" t="s">
        <v>33</v>
      </c>
      <c r="F582" s="3" t="s">
        <v>23</v>
      </c>
      <c r="G582" s="3" t="s">
        <v>18</v>
      </c>
      <c r="H582" s="2" t="n">
        <v>4</v>
      </c>
      <c r="I582" s="2" t="n">
        <v>1</v>
      </c>
      <c r="J582" s="4" t="n">
        <v>227.25</v>
      </c>
      <c r="K582" s="4" t="n">
        <v>72.09</v>
      </c>
      <c r="L582" s="5" t="n">
        <f aca="false">IF(H582=0,0,I582/H582)</f>
        <v>0.25</v>
      </c>
      <c r="M582" s="6" t="n">
        <f aca="false">IF(I582=0,0,J582/I582)</f>
        <v>227.25</v>
      </c>
    </row>
    <row r="583" customFormat="false" ht="15" hidden="false" customHeight="false" outlineLevel="0" collapsed="false">
      <c r="A583" s="2" t="n">
        <v>582</v>
      </c>
      <c r="B583" s="3" t="s">
        <v>118</v>
      </c>
      <c r="C583" s="3" t="s">
        <v>94</v>
      </c>
      <c r="D583" s="3" t="s">
        <v>27</v>
      </c>
      <c r="E583" s="3" t="s">
        <v>16</v>
      </c>
      <c r="F583" s="3" t="s">
        <v>29</v>
      </c>
      <c r="G583" s="3" t="s">
        <v>18</v>
      </c>
      <c r="H583" s="2" t="n">
        <v>3</v>
      </c>
      <c r="I583" s="2" t="n">
        <v>0</v>
      </c>
      <c r="J583" s="4" t="n">
        <v>0</v>
      </c>
      <c r="K583" s="4" t="n">
        <v>0</v>
      </c>
      <c r="L583" s="5" t="n">
        <f aca="false">IF(H583=0,0,I583/H583)</f>
        <v>0</v>
      </c>
      <c r="M583" s="6" t="n">
        <f aca="false">IF(I583=0,0,J583/I583)</f>
        <v>0</v>
      </c>
    </row>
    <row r="584" customFormat="false" ht="15" hidden="false" customHeight="false" outlineLevel="0" collapsed="false">
      <c r="A584" s="2" t="n">
        <v>583</v>
      </c>
      <c r="B584" s="3" t="s">
        <v>118</v>
      </c>
      <c r="C584" s="3" t="s">
        <v>94</v>
      </c>
      <c r="D584" s="3" t="s">
        <v>15</v>
      </c>
      <c r="E584" s="3" t="s">
        <v>33</v>
      </c>
      <c r="F584" s="3" t="s">
        <v>17</v>
      </c>
      <c r="G584" s="3" t="s">
        <v>31</v>
      </c>
      <c r="H584" s="2" t="n">
        <v>8</v>
      </c>
      <c r="I584" s="2" t="n">
        <v>1</v>
      </c>
      <c r="J584" s="4" t="n">
        <v>163.14</v>
      </c>
      <c r="K584" s="4" t="n">
        <v>52.16</v>
      </c>
      <c r="L584" s="5" t="n">
        <f aca="false">IF(H584=0,0,I584/H584)</f>
        <v>0.125</v>
      </c>
      <c r="M584" s="6" t="n">
        <f aca="false">IF(I584=0,0,J584/I584)</f>
        <v>163.14</v>
      </c>
    </row>
    <row r="585" customFormat="false" ht="15" hidden="false" customHeight="false" outlineLevel="0" collapsed="false">
      <c r="A585" s="2" t="n">
        <v>584</v>
      </c>
      <c r="B585" s="3" t="s">
        <v>118</v>
      </c>
      <c r="C585" s="3" t="s">
        <v>94</v>
      </c>
      <c r="D585" s="3" t="s">
        <v>19</v>
      </c>
      <c r="E585" s="3" t="s">
        <v>16</v>
      </c>
      <c r="F585" s="3" t="s">
        <v>23</v>
      </c>
      <c r="G585" s="3" t="s">
        <v>26</v>
      </c>
      <c r="H585" s="2" t="n">
        <v>10</v>
      </c>
      <c r="I585" s="2" t="n">
        <v>2</v>
      </c>
      <c r="J585" s="4" t="n">
        <v>1620.9</v>
      </c>
      <c r="K585" s="4" t="n">
        <v>218.9</v>
      </c>
      <c r="L585" s="5" t="n">
        <f aca="false">IF(H585=0,0,I585/H585)</f>
        <v>0.2</v>
      </c>
      <c r="M585" s="6" t="n">
        <f aca="false">IF(I585=0,0,J585/I585)</f>
        <v>810.45</v>
      </c>
    </row>
    <row r="586" customFormat="false" ht="15" hidden="false" customHeight="false" outlineLevel="0" collapsed="false">
      <c r="A586" s="2" t="n">
        <v>585</v>
      </c>
      <c r="B586" s="3" t="s">
        <v>119</v>
      </c>
      <c r="C586" s="3" t="s">
        <v>94</v>
      </c>
      <c r="D586" s="3" t="s">
        <v>22</v>
      </c>
      <c r="E586" s="3" t="s">
        <v>25</v>
      </c>
      <c r="F586" s="3" t="s">
        <v>17</v>
      </c>
      <c r="G586" s="3" t="s">
        <v>30</v>
      </c>
      <c r="H586" s="2" t="n">
        <v>5</v>
      </c>
      <c r="I586" s="2" t="n">
        <v>2</v>
      </c>
      <c r="J586" s="4" t="n">
        <v>242.24</v>
      </c>
      <c r="K586" s="4" t="n">
        <v>96.04</v>
      </c>
      <c r="L586" s="5" t="n">
        <f aca="false">IF(H586=0,0,I586/H586)</f>
        <v>0.4</v>
      </c>
      <c r="M586" s="6" t="n">
        <f aca="false">IF(I586=0,0,J586/I586)</f>
        <v>121.12</v>
      </c>
    </row>
    <row r="587" customFormat="false" ht="15" hidden="false" customHeight="false" outlineLevel="0" collapsed="false">
      <c r="A587" s="2" t="n">
        <v>586</v>
      </c>
      <c r="B587" s="3" t="s">
        <v>119</v>
      </c>
      <c r="C587" s="3" t="s">
        <v>94</v>
      </c>
      <c r="D587" s="3" t="s">
        <v>22</v>
      </c>
      <c r="E587" s="3" t="s">
        <v>28</v>
      </c>
      <c r="F587" s="3" t="s">
        <v>23</v>
      </c>
      <c r="G587" s="3" t="s">
        <v>21</v>
      </c>
      <c r="H587" s="2" t="n">
        <v>4</v>
      </c>
      <c r="I587" s="2" t="n">
        <v>1</v>
      </c>
      <c r="J587" s="4" t="n">
        <v>132.71</v>
      </c>
      <c r="K587" s="4" t="n">
        <v>57.4</v>
      </c>
      <c r="L587" s="5" t="n">
        <f aca="false">IF(H587=0,0,I587/H587)</f>
        <v>0.25</v>
      </c>
      <c r="M587" s="6" t="n">
        <f aca="false">IF(I587=0,0,J587/I587)</f>
        <v>132.71</v>
      </c>
    </row>
    <row r="588" customFormat="false" ht="15" hidden="false" customHeight="false" outlineLevel="0" collapsed="false">
      <c r="A588" s="2" t="n">
        <v>587</v>
      </c>
      <c r="B588" s="3" t="s">
        <v>119</v>
      </c>
      <c r="C588" s="3" t="s">
        <v>94</v>
      </c>
      <c r="D588" s="3" t="s">
        <v>15</v>
      </c>
      <c r="E588" s="3" t="s">
        <v>16</v>
      </c>
      <c r="F588" s="3" t="s">
        <v>20</v>
      </c>
      <c r="G588" s="3" t="s">
        <v>21</v>
      </c>
      <c r="H588" s="2" t="n">
        <v>7</v>
      </c>
      <c r="I588" s="2" t="n">
        <v>0</v>
      </c>
      <c r="J588" s="4" t="n">
        <v>0</v>
      </c>
      <c r="K588" s="4" t="n">
        <v>0</v>
      </c>
      <c r="L588" s="5" t="n">
        <f aca="false">IF(H588=0,0,I588/H588)</f>
        <v>0</v>
      </c>
      <c r="M588" s="6" t="n">
        <f aca="false">IF(I588=0,0,J588/I588)</f>
        <v>0</v>
      </c>
    </row>
    <row r="589" customFormat="false" ht="15" hidden="false" customHeight="false" outlineLevel="0" collapsed="false">
      <c r="A589" s="2" t="n">
        <v>588</v>
      </c>
      <c r="B589" s="3" t="s">
        <v>119</v>
      </c>
      <c r="C589" s="3" t="s">
        <v>94</v>
      </c>
      <c r="D589" s="3" t="s">
        <v>19</v>
      </c>
      <c r="E589" s="3" t="s">
        <v>16</v>
      </c>
      <c r="F589" s="3" t="s">
        <v>23</v>
      </c>
      <c r="G589" s="3" t="s">
        <v>18</v>
      </c>
      <c r="H589" s="2" t="n">
        <v>14</v>
      </c>
      <c r="I589" s="2" t="n">
        <v>2</v>
      </c>
      <c r="J589" s="4" t="n">
        <v>1964.66</v>
      </c>
      <c r="K589" s="4" t="n">
        <v>279.44</v>
      </c>
      <c r="L589" s="5" t="n">
        <f aca="false">IF(H589=0,0,I589/H589)</f>
        <v>0.142857142857143</v>
      </c>
      <c r="M589" s="6" t="n">
        <f aca="false">IF(I589=0,0,J589/I589)</f>
        <v>982.33</v>
      </c>
    </row>
    <row r="590" customFormat="false" ht="15" hidden="false" customHeight="false" outlineLevel="0" collapsed="false">
      <c r="A590" s="2" t="n">
        <v>589</v>
      </c>
      <c r="B590" s="3" t="s">
        <v>119</v>
      </c>
      <c r="C590" s="3" t="s">
        <v>94</v>
      </c>
      <c r="D590" s="3" t="s">
        <v>19</v>
      </c>
      <c r="E590" s="3" t="s">
        <v>16</v>
      </c>
      <c r="F590" s="3" t="s">
        <v>23</v>
      </c>
      <c r="G590" s="3" t="s">
        <v>21</v>
      </c>
      <c r="H590" s="2" t="n">
        <v>8</v>
      </c>
      <c r="I590" s="2" t="n">
        <v>2</v>
      </c>
      <c r="J590" s="4" t="n">
        <v>1566.72</v>
      </c>
      <c r="K590" s="4" t="n">
        <v>233.72</v>
      </c>
      <c r="L590" s="5" t="n">
        <f aca="false">IF(H590=0,0,I590/H590)</f>
        <v>0.25</v>
      </c>
      <c r="M590" s="6" t="n">
        <f aca="false">IF(I590=0,0,J590/I590)</f>
        <v>783.36</v>
      </c>
    </row>
    <row r="591" customFormat="false" ht="15" hidden="false" customHeight="false" outlineLevel="0" collapsed="false">
      <c r="A591" s="2" t="n">
        <v>590</v>
      </c>
      <c r="B591" s="3" t="s">
        <v>119</v>
      </c>
      <c r="C591" s="3" t="s">
        <v>94</v>
      </c>
      <c r="D591" s="3" t="s">
        <v>15</v>
      </c>
      <c r="E591" s="3" t="s">
        <v>25</v>
      </c>
      <c r="F591" s="3" t="s">
        <v>23</v>
      </c>
      <c r="G591" s="3" t="s">
        <v>30</v>
      </c>
      <c r="H591" s="2" t="n">
        <v>7</v>
      </c>
      <c r="I591" s="2" t="n">
        <v>2</v>
      </c>
      <c r="J591" s="4" t="n">
        <v>376.01</v>
      </c>
      <c r="K591" s="4" t="n">
        <v>108.3</v>
      </c>
      <c r="L591" s="5" t="n">
        <f aca="false">IF(H591=0,0,I591/H591)</f>
        <v>0.285714285714286</v>
      </c>
      <c r="M591" s="6" t="n">
        <f aca="false">IF(I591=0,0,J591/I591)</f>
        <v>188.005</v>
      </c>
    </row>
    <row r="592" customFormat="false" ht="15" hidden="false" customHeight="false" outlineLevel="0" collapsed="false">
      <c r="A592" s="2" t="n">
        <v>591</v>
      </c>
      <c r="B592" s="3" t="s">
        <v>119</v>
      </c>
      <c r="C592" s="3" t="s">
        <v>94</v>
      </c>
      <c r="D592" s="3" t="s">
        <v>24</v>
      </c>
      <c r="E592" s="3" t="s">
        <v>33</v>
      </c>
      <c r="F592" s="3" t="s">
        <v>23</v>
      </c>
      <c r="G592" s="3" t="s">
        <v>30</v>
      </c>
      <c r="H592" s="2" t="n">
        <v>8</v>
      </c>
      <c r="I592" s="2" t="n">
        <v>0</v>
      </c>
      <c r="J592" s="4" t="n">
        <v>0</v>
      </c>
      <c r="K592" s="4" t="n">
        <v>0</v>
      </c>
      <c r="L592" s="5" t="n">
        <f aca="false">IF(H592=0,0,I592/H592)</f>
        <v>0</v>
      </c>
      <c r="M592" s="6" t="n">
        <f aca="false">IF(I592=0,0,J592/I592)</f>
        <v>0</v>
      </c>
    </row>
    <row r="593" customFormat="false" ht="15" hidden="false" customHeight="false" outlineLevel="0" collapsed="false">
      <c r="A593" s="2" t="n">
        <v>592</v>
      </c>
      <c r="B593" s="3" t="s">
        <v>119</v>
      </c>
      <c r="C593" s="3" t="s">
        <v>94</v>
      </c>
      <c r="D593" s="3" t="s">
        <v>24</v>
      </c>
      <c r="E593" s="3" t="s">
        <v>25</v>
      </c>
      <c r="F593" s="3" t="s">
        <v>17</v>
      </c>
      <c r="G593" s="3" t="s">
        <v>21</v>
      </c>
      <c r="H593" s="2" t="n">
        <v>2</v>
      </c>
      <c r="I593" s="2" t="n">
        <v>1</v>
      </c>
      <c r="J593" s="4" t="n">
        <v>233.43</v>
      </c>
      <c r="K593" s="4" t="n">
        <v>62.21</v>
      </c>
      <c r="L593" s="5" t="n">
        <f aca="false">IF(H593=0,0,I593/H593)</f>
        <v>0.5</v>
      </c>
      <c r="M593" s="6" t="n">
        <f aca="false">IF(I593=0,0,J593/I593)</f>
        <v>233.43</v>
      </c>
    </row>
    <row r="594" customFormat="false" ht="15" hidden="false" customHeight="false" outlineLevel="0" collapsed="false">
      <c r="A594" s="2" t="n">
        <v>593</v>
      </c>
      <c r="B594" s="3" t="s">
        <v>119</v>
      </c>
      <c r="C594" s="3" t="s">
        <v>94</v>
      </c>
      <c r="D594" s="3" t="s">
        <v>27</v>
      </c>
      <c r="E594" s="3" t="s">
        <v>25</v>
      </c>
      <c r="F594" s="3" t="s">
        <v>20</v>
      </c>
      <c r="G594" s="3" t="s">
        <v>34</v>
      </c>
      <c r="H594" s="2" t="n">
        <v>10</v>
      </c>
      <c r="I594" s="2" t="n">
        <v>1</v>
      </c>
      <c r="J594" s="4" t="n">
        <v>1584.47</v>
      </c>
      <c r="K594" s="4" t="n">
        <v>283.8</v>
      </c>
      <c r="L594" s="5" t="n">
        <f aca="false">IF(H594=0,0,I594/H594)</f>
        <v>0.1</v>
      </c>
      <c r="M594" s="6" t="n">
        <f aca="false">IF(I594=0,0,J594/I594)</f>
        <v>1584.47</v>
      </c>
    </row>
    <row r="595" customFormat="false" ht="15" hidden="false" customHeight="false" outlineLevel="0" collapsed="false">
      <c r="A595" s="2" t="n">
        <v>594</v>
      </c>
      <c r="B595" s="3" t="s">
        <v>119</v>
      </c>
      <c r="C595" s="3" t="s">
        <v>94</v>
      </c>
      <c r="D595" s="3" t="s">
        <v>19</v>
      </c>
      <c r="E595" s="3" t="s">
        <v>16</v>
      </c>
      <c r="F595" s="3" t="s">
        <v>23</v>
      </c>
      <c r="G595" s="3" t="s">
        <v>26</v>
      </c>
      <c r="H595" s="2" t="n">
        <v>10</v>
      </c>
      <c r="I595" s="2" t="n">
        <v>0</v>
      </c>
      <c r="J595" s="4" t="n">
        <v>0</v>
      </c>
      <c r="K595" s="4" t="n">
        <v>0</v>
      </c>
      <c r="L595" s="5" t="n">
        <f aca="false">IF(H595=0,0,I595/H595)</f>
        <v>0</v>
      </c>
      <c r="M595" s="6" t="n">
        <f aca="false">IF(I595=0,0,J595/I595)</f>
        <v>0</v>
      </c>
    </row>
    <row r="596" customFormat="false" ht="15" hidden="false" customHeight="false" outlineLevel="0" collapsed="false">
      <c r="A596" s="2" t="n">
        <v>595</v>
      </c>
      <c r="B596" s="3" t="s">
        <v>119</v>
      </c>
      <c r="C596" s="3" t="s">
        <v>94</v>
      </c>
      <c r="D596" s="3" t="s">
        <v>19</v>
      </c>
      <c r="E596" s="3" t="s">
        <v>25</v>
      </c>
      <c r="F596" s="3" t="s">
        <v>20</v>
      </c>
      <c r="G596" s="3" t="s">
        <v>31</v>
      </c>
      <c r="H596" s="2" t="n">
        <v>6</v>
      </c>
      <c r="I596" s="2" t="n">
        <v>1</v>
      </c>
      <c r="J596" s="4" t="n">
        <v>933.44</v>
      </c>
      <c r="K596" s="4" t="n">
        <v>132.32</v>
      </c>
      <c r="L596" s="5" t="n">
        <f aca="false">IF(H596=0,0,I596/H596)</f>
        <v>0.166666666666667</v>
      </c>
      <c r="M596" s="6" t="n">
        <f aca="false">IF(I596=0,0,J596/I596)</f>
        <v>933.44</v>
      </c>
    </row>
    <row r="597" customFormat="false" ht="15" hidden="false" customHeight="false" outlineLevel="0" collapsed="false">
      <c r="A597" s="2" t="n">
        <v>596</v>
      </c>
      <c r="B597" s="3" t="s">
        <v>119</v>
      </c>
      <c r="C597" s="3" t="s">
        <v>94</v>
      </c>
      <c r="D597" s="3" t="s">
        <v>19</v>
      </c>
      <c r="E597" s="3" t="s">
        <v>28</v>
      </c>
      <c r="F597" s="3" t="s">
        <v>23</v>
      </c>
      <c r="G597" s="3" t="s">
        <v>18</v>
      </c>
      <c r="H597" s="2" t="n">
        <v>6</v>
      </c>
      <c r="I597" s="2" t="n">
        <v>0</v>
      </c>
      <c r="J597" s="4" t="n">
        <v>0</v>
      </c>
      <c r="K597" s="4" t="n">
        <v>0</v>
      </c>
      <c r="L597" s="5" t="n">
        <f aca="false">IF(H597=0,0,I597/H597)</f>
        <v>0</v>
      </c>
      <c r="M597" s="6" t="n">
        <f aca="false">IF(I597=0,0,J597/I597)</f>
        <v>0</v>
      </c>
    </row>
    <row r="598" customFormat="false" ht="15" hidden="false" customHeight="false" outlineLevel="0" collapsed="false">
      <c r="A598" s="2" t="n">
        <v>597</v>
      </c>
      <c r="B598" s="3" t="s">
        <v>119</v>
      </c>
      <c r="C598" s="3" t="s">
        <v>94</v>
      </c>
      <c r="D598" s="3" t="s">
        <v>15</v>
      </c>
      <c r="E598" s="3" t="s">
        <v>33</v>
      </c>
      <c r="F598" s="3" t="s">
        <v>23</v>
      </c>
      <c r="G598" s="3" t="s">
        <v>21</v>
      </c>
      <c r="H598" s="2" t="n">
        <v>7</v>
      </c>
      <c r="I598" s="2" t="n">
        <v>1</v>
      </c>
      <c r="J598" s="4" t="n">
        <v>199.1</v>
      </c>
      <c r="K598" s="4" t="n">
        <v>61.4</v>
      </c>
      <c r="L598" s="5" t="n">
        <f aca="false">IF(H598=0,0,I598/H598)</f>
        <v>0.142857142857143</v>
      </c>
      <c r="M598" s="6" t="n">
        <f aca="false">IF(I598=0,0,J598/I598)</f>
        <v>199.1</v>
      </c>
    </row>
    <row r="599" customFormat="false" ht="15" hidden="false" customHeight="false" outlineLevel="0" collapsed="false">
      <c r="A599" s="2" t="n">
        <v>598</v>
      </c>
      <c r="B599" s="3" t="s">
        <v>120</v>
      </c>
      <c r="C599" s="3" t="s">
        <v>94</v>
      </c>
      <c r="D599" s="3" t="s">
        <v>15</v>
      </c>
      <c r="E599" s="3" t="s">
        <v>28</v>
      </c>
      <c r="F599" s="3" t="s">
        <v>17</v>
      </c>
      <c r="G599" s="3" t="s">
        <v>18</v>
      </c>
      <c r="H599" s="2" t="n">
        <v>10</v>
      </c>
      <c r="I599" s="2" t="n">
        <v>2</v>
      </c>
      <c r="J599" s="4" t="n">
        <v>381.21</v>
      </c>
      <c r="K599" s="4" t="n">
        <v>105.94</v>
      </c>
      <c r="L599" s="5" t="n">
        <f aca="false">IF(H599=0,0,I599/H599)</f>
        <v>0.2</v>
      </c>
      <c r="M599" s="6" t="n">
        <f aca="false">IF(I599=0,0,J599/I599)</f>
        <v>190.605</v>
      </c>
    </row>
    <row r="600" customFormat="false" ht="15" hidden="false" customHeight="false" outlineLevel="0" collapsed="false">
      <c r="A600" s="2" t="n">
        <v>599</v>
      </c>
      <c r="B600" s="3" t="s">
        <v>120</v>
      </c>
      <c r="C600" s="3" t="s">
        <v>94</v>
      </c>
      <c r="D600" s="3" t="s">
        <v>19</v>
      </c>
      <c r="E600" s="3" t="s">
        <v>16</v>
      </c>
      <c r="F600" s="3" t="s">
        <v>20</v>
      </c>
      <c r="G600" s="3" t="s">
        <v>21</v>
      </c>
      <c r="H600" s="2" t="n">
        <v>10</v>
      </c>
      <c r="I600" s="2" t="n">
        <v>2</v>
      </c>
      <c r="J600" s="4" t="n">
        <v>1733.09</v>
      </c>
      <c r="K600" s="4" t="n">
        <v>244.14</v>
      </c>
      <c r="L600" s="5" t="n">
        <f aca="false">IF(H600=0,0,I600/H600)</f>
        <v>0.2</v>
      </c>
      <c r="M600" s="6" t="n">
        <f aca="false">IF(I600=0,0,J600/I600)</f>
        <v>866.545</v>
      </c>
    </row>
    <row r="601" customFormat="false" ht="15" hidden="false" customHeight="false" outlineLevel="0" collapsed="false">
      <c r="A601" s="2" t="n">
        <v>600</v>
      </c>
      <c r="B601" s="3" t="s">
        <v>120</v>
      </c>
      <c r="C601" s="3" t="s">
        <v>94</v>
      </c>
      <c r="D601" s="3" t="s">
        <v>19</v>
      </c>
      <c r="E601" s="3" t="s">
        <v>16</v>
      </c>
      <c r="F601" s="3" t="s">
        <v>23</v>
      </c>
      <c r="G601" s="3" t="s">
        <v>34</v>
      </c>
      <c r="H601" s="2" t="n">
        <v>8</v>
      </c>
      <c r="I601" s="2" t="n">
        <v>1</v>
      </c>
      <c r="J601" s="4" t="n">
        <v>880.08</v>
      </c>
      <c r="K601" s="4" t="n">
        <v>116.11</v>
      </c>
      <c r="L601" s="5" t="n">
        <f aca="false">IF(H601=0,0,I601/H601)</f>
        <v>0.125</v>
      </c>
      <c r="M601" s="6" t="n">
        <f aca="false">IF(I601=0,0,J601/I601)</f>
        <v>880.08</v>
      </c>
    </row>
    <row r="602" customFormat="false" ht="15" hidden="false" customHeight="false" outlineLevel="0" collapsed="false">
      <c r="A602" s="2" t="n">
        <v>601</v>
      </c>
      <c r="B602" s="3" t="s">
        <v>120</v>
      </c>
      <c r="C602" s="3" t="s">
        <v>94</v>
      </c>
      <c r="D602" s="3" t="s">
        <v>24</v>
      </c>
      <c r="E602" s="3" t="s">
        <v>16</v>
      </c>
      <c r="F602" s="3" t="s">
        <v>23</v>
      </c>
      <c r="G602" s="3" t="s">
        <v>31</v>
      </c>
      <c r="H602" s="2" t="n">
        <v>9</v>
      </c>
      <c r="I602" s="2" t="n">
        <v>0</v>
      </c>
      <c r="J602" s="4" t="n">
        <v>0</v>
      </c>
      <c r="K602" s="4" t="n">
        <v>0</v>
      </c>
      <c r="L602" s="5" t="n">
        <f aca="false">IF(H602=0,0,I602/H602)</f>
        <v>0</v>
      </c>
      <c r="M602" s="6" t="n">
        <f aca="false">IF(I602=0,0,J602/I602)</f>
        <v>0</v>
      </c>
    </row>
    <row r="603" customFormat="false" ht="15" hidden="false" customHeight="false" outlineLevel="0" collapsed="false">
      <c r="A603" s="2" t="n">
        <v>602</v>
      </c>
      <c r="B603" s="3" t="s">
        <v>120</v>
      </c>
      <c r="C603" s="3" t="s">
        <v>94</v>
      </c>
      <c r="D603" s="3" t="s">
        <v>19</v>
      </c>
      <c r="E603" s="3" t="s">
        <v>16</v>
      </c>
      <c r="F603" s="3" t="s">
        <v>20</v>
      </c>
      <c r="G603" s="3" t="s">
        <v>21</v>
      </c>
      <c r="H603" s="2" t="n">
        <v>7</v>
      </c>
      <c r="I603" s="2" t="n">
        <v>1</v>
      </c>
      <c r="J603" s="4" t="n">
        <v>787.78</v>
      </c>
      <c r="K603" s="4" t="n">
        <v>104.28</v>
      </c>
      <c r="L603" s="5" t="n">
        <f aca="false">IF(H603=0,0,I603/H603)</f>
        <v>0.142857142857143</v>
      </c>
      <c r="M603" s="6" t="n">
        <f aca="false">IF(I603=0,0,J603/I603)</f>
        <v>787.78</v>
      </c>
    </row>
    <row r="604" customFormat="false" ht="15" hidden="false" customHeight="false" outlineLevel="0" collapsed="false">
      <c r="A604" s="2" t="n">
        <v>603</v>
      </c>
      <c r="B604" s="3" t="s">
        <v>120</v>
      </c>
      <c r="C604" s="3" t="s">
        <v>94</v>
      </c>
      <c r="D604" s="3" t="s">
        <v>19</v>
      </c>
      <c r="E604" s="3" t="s">
        <v>33</v>
      </c>
      <c r="F604" s="3" t="s">
        <v>23</v>
      </c>
      <c r="G604" s="3" t="s">
        <v>31</v>
      </c>
      <c r="H604" s="2" t="n">
        <v>9</v>
      </c>
      <c r="I604" s="2" t="n">
        <v>2</v>
      </c>
      <c r="J604" s="4" t="n">
        <v>1952.96</v>
      </c>
      <c r="K604" s="4" t="n">
        <v>293.76</v>
      </c>
      <c r="L604" s="5" t="n">
        <f aca="false">IF(H604=0,0,I604/H604)</f>
        <v>0.222222222222222</v>
      </c>
      <c r="M604" s="6" t="n">
        <f aca="false">IF(I604=0,0,J604/I604)</f>
        <v>976.48</v>
      </c>
    </row>
    <row r="605" customFormat="false" ht="15" hidden="false" customHeight="false" outlineLevel="0" collapsed="false">
      <c r="A605" s="2" t="n">
        <v>604</v>
      </c>
      <c r="B605" s="3" t="s">
        <v>120</v>
      </c>
      <c r="C605" s="3" t="s">
        <v>94</v>
      </c>
      <c r="D605" s="3" t="s">
        <v>22</v>
      </c>
      <c r="E605" s="3" t="s">
        <v>16</v>
      </c>
      <c r="F605" s="3" t="s">
        <v>20</v>
      </c>
      <c r="G605" s="3" t="s">
        <v>34</v>
      </c>
      <c r="H605" s="2" t="n">
        <v>8</v>
      </c>
      <c r="I605" s="2" t="n">
        <v>2</v>
      </c>
      <c r="J605" s="4" t="n">
        <v>235.32</v>
      </c>
      <c r="K605" s="4" t="n">
        <v>91.2</v>
      </c>
      <c r="L605" s="5" t="n">
        <f aca="false">IF(H605=0,0,I605/H605)</f>
        <v>0.25</v>
      </c>
      <c r="M605" s="6" t="n">
        <f aca="false">IF(I605=0,0,J605/I605)</f>
        <v>117.66</v>
      </c>
    </row>
    <row r="606" customFormat="false" ht="15" hidden="false" customHeight="false" outlineLevel="0" collapsed="false">
      <c r="A606" s="2" t="n">
        <v>605</v>
      </c>
      <c r="B606" s="3" t="s">
        <v>121</v>
      </c>
      <c r="C606" s="3" t="s">
        <v>94</v>
      </c>
      <c r="D606" s="3" t="s">
        <v>15</v>
      </c>
      <c r="E606" s="3" t="s">
        <v>25</v>
      </c>
      <c r="F606" s="3" t="s">
        <v>23</v>
      </c>
      <c r="G606" s="3" t="s">
        <v>21</v>
      </c>
      <c r="H606" s="2" t="n">
        <v>4</v>
      </c>
      <c r="I606" s="2" t="n">
        <v>1</v>
      </c>
      <c r="J606" s="4" t="n">
        <v>240.23</v>
      </c>
      <c r="K606" s="4" t="n">
        <v>66.44</v>
      </c>
      <c r="L606" s="5" t="n">
        <f aca="false">IF(H606=0,0,I606/H606)</f>
        <v>0.25</v>
      </c>
      <c r="M606" s="6" t="n">
        <f aca="false">IF(I606=0,0,J606/I606)</f>
        <v>240.23</v>
      </c>
    </row>
    <row r="607" customFormat="false" ht="15" hidden="false" customHeight="false" outlineLevel="0" collapsed="false">
      <c r="A607" s="2" t="n">
        <v>606</v>
      </c>
      <c r="B607" s="3" t="s">
        <v>121</v>
      </c>
      <c r="C607" s="3" t="s">
        <v>94</v>
      </c>
      <c r="D607" s="3" t="s">
        <v>24</v>
      </c>
      <c r="E607" s="3" t="s">
        <v>25</v>
      </c>
      <c r="F607" s="3" t="s">
        <v>17</v>
      </c>
      <c r="G607" s="3" t="s">
        <v>26</v>
      </c>
      <c r="H607" s="2" t="n">
        <v>7</v>
      </c>
      <c r="I607" s="2" t="n">
        <v>1</v>
      </c>
      <c r="J607" s="4" t="n">
        <v>335.22</v>
      </c>
      <c r="K607" s="4" t="n">
        <v>85.3</v>
      </c>
      <c r="L607" s="5" t="n">
        <f aca="false">IF(H607=0,0,I607/H607)</f>
        <v>0.142857142857143</v>
      </c>
      <c r="M607" s="6" t="n">
        <f aca="false">IF(I607=0,0,J607/I607)</f>
        <v>335.22</v>
      </c>
    </row>
    <row r="608" customFormat="false" ht="15" hidden="false" customHeight="false" outlineLevel="0" collapsed="false">
      <c r="A608" s="2" t="n">
        <v>607</v>
      </c>
      <c r="B608" s="3" t="s">
        <v>121</v>
      </c>
      <c r="C608" s="3" t="s">
        <v>94</v>
      </c>
      <c r="D608" s="3" t="s">
        <v>15</v>
      </c>
      <c r="E608" s="3" t="s">
        <v>33</v>
      </c>
      <c r="F608" s="3" t="s">
        <v>23</v>
      </c>
      <c r="G608" s="3" t="s">
        <v>18</v>
      </c>
      <c r="H608" s="2" t="n">
        <v>9</v>
      </c>
      <c r="I608" s="2" t="n">
        <v>1</v>
      </c>
      <c r="J608" s="4" t="n">
        <v>152.81</v>
      </c>
      <c r="K608" s="4" t="n">
        <v>46.72</v>
      </c>
      <c r="L608" s="5" t="n">
        <f aca="false">IF(H608=0,0,I608/H608)</f>
        <v>0.111111111111111</v>
      </c>
      <c r="M608" s="6" t="n">
        <f aca="false">IF(I608=0,0,J608/I608)</f>
        <v>152.81</v>
      </c>
    </row>
    <row r="609" customFormat="false" ht="15" hidden="false" customHeight="false" outlineLevel="0" collapsed="false">
      <c r="A609" s="2" t="n">
        <v>608</v>
      </c>
      <c r="B609" s="3" t="s">
        <v>122</v>
      </c>
      <c r="C609" s="3" t="s">
        <v>94</v>
      </c>
      <c r="D609" s="3" t="s">
        <v>22</v>
      </c>
      <c r="E609" s="3" t="s">
        <v>33</v>
      </c>
      <c r="F609" s="3" t="s">
        <v>23</v>
      </c>
      <c r="G609" s="3" t="s">
        <v>26</v>
      </c>
      <c r="H609" s="2" t="n">
        <v>7</v>
      </c>
      <c r="I609" s="2" t="n">
        <v>3</v>
      </c>
      <c r="J609" s="4" t="n">
        <v>270.71</v>
      </c>
      <c r="K609" s="4" t="n">
        <v>105.45</v>
      </c>
      <c r="L609" s="5" t="n">
        <f aca="false">IF(H609=0,0,I609/H609)</f>
        <v>0.428571428571429</v>
      </c>
      <c r="M609" s="6" t="n">
        <f aca="false">IF(I609=0,0,J609/I609)</f>
        <v>90.2366666666667</v>
      </c>
    </row>
    <row r="610" customFormat="false" ht="15" hidden="false" customHeight="false" outlineLevel="0" collapsed="false">
      <c r="A610" s="2" t="n">
        <v>609</v>
      </c>
      <c r="B610" s="3" t="s">
        <v>122</v>
      </c>
      <c r="C610" s="3" t="s">
        <v>94</v>
      </c>
      <c r="D610" s="3" t="s">
        <v>19</v>
      </c>
      <c r="E610" s="3" t="s">
        <v>25</v>
      </c>
      <c r="F610" s="3" t="s">
        <v>23</v>
      </c>
      <c r="G610" s="3" t="s">
        <v>21</v>
      </c>
      <c r="H610" s="2" t="n">
        <v>7</v>
      </c>
      <c r="I610" s="2" t="n">
        <v>1</v>
      </c>
      <c r="J610" s="4" t="n">
        <v>755.89</v>
      </c>
      <c r="K610" s="4" t="n">
        <v>113.54</v>
      </c>
      <c r="L610" s="5" t="n">
        <f aca="false">IF(H610=0,0,I610/H610)</f>
        <v>0.142857142857143</v>
      </c>
      <c r="M610" s="6" t="n">
        <f aca="false">IF(I610=0,0,J610/I610)</f>
        <v>755.89</v>
      </c>
    </row>
    <row r="611" customFormat="false" ht="15" hidden="false" customHeight="false" outlineLevel="0" collapsed="false">
      <c r="A611" s="2" t="n">
        <v>610</v>
      </c>
      <c r="B611" s="3" t="s">
        <v>123</v>
      </c>
      <c r="C611" s="3" t="s">
        <v>94</v>
      </c>
      <c r="D611" s="3" t="s">
        <v>22</v>
      </c>
      <c r="E611" s="3" t="s">
        <v>28</v>
      </c>
      <c r="F611" s="3" t="s">
        <v>29</v>
      </c>
      <c r="G611" s="3" t="s">
        <v>21</v>
      </c>
      <c r="H611" s="2" t="n">
        <v>6</v>
      </c>
      <c r="I611" s="2" t="n">
        <v>1</v>
      </c>
      <c r="J611" s="4" t="n">
        <v>138.81</v>
      </c>
      <c r="K611" s="4" t="n">
        <v>62.67</v>
      </c>
      <c r="L611" s="5" t="n">
        <f aca="false">IF(H611=0,0,I611/H611)</f>
        <v>0.166666666666667</v>
      </c>
      <c r="M611" s="6" t="n">
        <f aca="false">IF(I611=0,0,J611/I611)</f>
        <v>138.81</v>
      </c>
    </row>
    <row r="612" customFormat="false" ht="15" hidden="false" customHeight="false" outlineLevel="0" collapsed="false">
      <c r="A612" s="2" t="n">
        <v>611</v>
      </c>
      <c r="B612" s="3" t="s">
        <v>123</v>
      </c>
      <c r="C612" s="3" t="s">
        <v>94</v>
      </c>
      <c r="D612" s="3" t="s">
        <v>22</v>
      </c>
      <c r="E612" s="3" t="s">
        <v>33</v>
      </c>
      <c r="F612" s="3" t="s">
        <v>17</v>
      </c>
      <c r="G612" s="3" t="s">
        <v>30</v>
      </c>
      <c r="H612" s="2" t="n">
        <v>7</v>
      </c>
      <c r="I612" s="2" t="n">
        <v>3</v>
      </c>
      <c r="J612" s="4" t="n">
        <v>344.64</v>
      </c>
      <c r="K612" s="4" t="n">
        <v>135.49</v>
      </c>
      <c r="L612" s="5" t="n">
        <f aca="false">IF(H612=0,0,I612/H612)</f>
        <v>0.428571428571429</v>
      </c>
      <c r="M612" s="6" t="n">
        <f aca="false">IF(I612=0,0,J612/I612)</f>
        <v>114.88</v>
      </c>
    </row>
    <row r="613" customFormat="false" ht="15" hidden="false" customHeight="false" outlineLevel="0" collapsed="false">
      <c r="A613" s="2" t="n">
        <v>612</v>
      </c>
      <c r="B613" s="3" t="s">
        <v>123</v>
      </c>
      <c r="C613" s="3" t="s">
        <v>94</v>
      </c>
      <c r="D613" s="3" t="s">
        <v>24</v>
      </c>
      <c r="E613" s="3" t="s">
        <v>28</v>
      </c>
      <c r="F613" s="3" t="s">
        <v>17</v>
      </c>
      <c r="G613" s="3" t="s">
        <v>26</v>
      </c>
      <c r="H613" s="2" t="n">
        <v>1</v>
      </c>
      <c r="I613" s="2" t="n">
        <v>1</v>
      </c>
      <c r="J613" s="4" t="n">
        <v>266.4</v>
      </c>
      <c r="K613" s="4" t="n">
        <v>67.68</v>
      </c>
      <c r="L613" s="5" t="n">
        <f aca="false">IF(H613=0,0,I613/H613)</f>
        <v>1</v>
      </c>
      <c r="M613" s="6" t="n">
        <f aca="false">IF(I613=0,0,J613/I613)</f>
        <v>266.4</v>
      </c>
    </row>
    <row r="614" customFormat="false" ht="15" hidden="false" customHeight="false" outlineLevel="0" collapsed="false">
      <c r="A614" s="2" t="n">
        <v>613</v>
      </c>
      <c r="B614" s="3" t="s">
        <v>123</v>
      </c>
      <c r="C614" s="3" t="s">
        <v>94</v>
      </c>
      <c r="D614" s="3" t="s">
        <v>24</v>
      </c>
      <c r="E614" s="3" t="s">
        <v>16</v>
      </c>
      <c r="F614" s="3" t="s">
        <v>17</v>
      </c>
      <c r="G614" s="3" t="s">
        <v>34</v>
      </c>
      <c r="H614" s="2" t="n">
        <v>4</v>
      </c>
      <c r="I614" s="2" t="n">
        <v>1</v>
      </c>
      <c r="J614" s="4" t="n">
        <v>217.64</v>
      </c>
      <c r="K614" s="4" t="n">
        <v>57.5</v>
      </c>
      <c r="L614" s="5" t="n">
        <f aca="false">IF(H614=0,0,I614/H614)</f>
        <v>0.25</v>
      </c>
      <c r="M614" s="6" t="n">
        <f aca="false">IF(I614=0,0,J614/I614)</f>
        <v>217.64</v>
      </c>
    </row>
    <row r="615" customFormat="false" ht="15" hidden="false" customHeight="false" outlineLevel="0" collapsed="false">
      <c r="A615" s="2" t="n">
        <v>614</v>
      </c>
      <c r="B615" s="3" t="s">
        <v>124</v>
      </c>
      <c r="C615" s="3" t="s">
        <v>94</v>
      </c>
      <c r="D615" s="3" t="s">
        <v>24</v>
      </c>
      <c r="E615" s="3" t="s">
        <v>16</v>
      </c>
      <c r="F615" s="3" t="s">
        <v>23</v>
      </c>
      <c r="G615" s="3" t="s">
        <v>31</v>
      </c>
      <c r="H615" s="2" t="n">
        <v>7</v>
      </c>
      <c r="I615" s="2" t="n">
        <v>1</v>
      </c>
      <c r="J615" s="4" t="n">
        <v>234.46</v>
      </c>
      <c r="K615" s="4" t="n">
        <v>55.76</v>
      </c>
      <c r="L615" s="5" t="n">
        <f aca="false">IF(H615=0,0,I615/H615)</f>
        <v>0.142857142857143</v>
      </c>
      <c r="M615" s="6" t="n">
        <f aca="false">IF(I615=0,0,J615/I615)</f>
        <v>234.46</v>
      </c>
    </row>
    <row r="616" customFormat="false" ht="15" hidden="false" customHeight="false" outlineLevel="0" collapsed="false">
      <c r="A616" s="2" t="n">
        <v>615</v>
      </c>
      <c r="B616" s="3" t="s">
        <v>124</v>
      </c>
      <c r="C616" s="3" t="s">
        <v>94</v>
      </c>
      <c r="D616" s="3" t="s">
        <v>27</v>
      </c>
      <c r="E616" s="3" t="s">
        <v>16</v>
      </c>
      <c r="F616" s="3" t="s">
        <v>23</v>
      </c>
      <c r="G616" s="3" t="s">
        <v>30</v>
      </c>
      <c r="H616" s="2" t="n">
        <v>6</v>
      </c>
      <c r="I616" s="2" t="n">
        <v>1</v>
      </c>
      <c r="J616" s="4" t="n">
        <v>1392.78</v>
      </c>
      <c r="K616" s="4" t="n">
        <v>236.95</v>
      </c>
      <c r="L616" s="5" t="n">
        <f aca="false">IF(H616=0,0,I616/H616)</f>
        <v>0.166666666666667</v>
      </c>
      <c r="M616" s="6" t="n">
        <f aca="false">IF(I616=0,0,J616/I616)</f>
        <v>1392.78</v>
      </c>
    </row>
    <row r="617" customFormat="false" ht="15" hidden="false" customHeight="false" outlineLevel="0" collapsed="false">
      <c r="A617" s="2" t="n">
        <v>616</v>
      </c>
      <c r="B617" s="3" t="s">
        <v>124</v>
      </c>
      <c r="C617" s="3" t="s">
        <v>94</v>
      </c>
      <c r="D617" s="3" t="s">
        <v>24</v>
      </c>
      <c r="E617" s="3" t="s">
        <v>25</v>
      </c>
      <c r="F617" s="3" t="s">
        <v>23</v>
      </c>
      <c r="G617" s="3" t="s">
        <v>26</v>
      </c>
      <c r="H617" s="2" t="n">
        <v>7</v>
      </c>
      <c r="I617" s="2" t="n">
        <v>0</v>
      </c>
      <c r="J617" s="4" t="n">
        <v>0</v>
      </c>
      <c r="K617" s="4" t="n">
        <v>0</v>
      </c>
      <c r="L617" s="5" t="n">
        <f aca="false">IF(H617=0,0,I617/H617)</f>
        <v>0</v>
      </c>
      <c r="M617" s="6" t="n">
        <f aca="false">IF(I617=0,0,J617/I617)</f>
        <v>0</v>
      </c>
    </row>
    <row r="618" customFormat="false" ht="15" hidden="false" customHeight="false" outlineLevel="0" collapsed="false">
      <c r="A618" s="2" t="n">
        <v>617</v>
      </c>
      <c r="B618" s="3" t="s">
        <v>124</v>
      </c>
      <c r="C618" s="3" t="s">
        <v>94</v>
      </c>
      <c r="D618" s="3" t="s">
        <v>27</v>
      </c>
      <c r="E618" s="3" t="s">
        <v>16</v>
      </c>
      <c r="F618" s="3" t="s">
        <v>23</v>
      </c>
      <c r="G618" s="3" t="s">
        <v>21</v>
      </c>
      <c r="H618" s="2" t="n">
        <v>16</v>
      </c>
      <c r="I618" s="2" t="n">
        <v>1</v>
      </c>
      <c r="J618" s="4" t="n">
        <v>1382.83</v>
      </c>
      <c r="K618" s="4" t="n">
        <v>229.8</v>
      </c>
      <c r="L618" s="5" t="n">
        <f aca="false">IF(H618=0,0,I618/H618)</f>
        <v>0.0625</v>
      </c>
      <c r="M618" s="6" t="n">
        <f aca="false">IF(I618=0,0,J618/I618)</f>
        <v>1382.83</v>
      </c>
    </row>
    <row r="619" customFormat="false" ht="15" hidden="false" customHeight="false" outlineLevel="0" collapsed="false">
      <c r="A619" s="2" t="n">
        <v>618</v>
      </c>
      <c r="B619" s="3" t="s">
        <v>124</v>
      </c>
      <c r="C619" s="3" t="s">
        <v>94</v>
      </c>
      <c r="D619" s="3" t="s">
        <v>24</v>
      </c>
      <c r="E619" s="3" t="s">
        <v>25</v>
      </c>
      <c r="F619" s="3" t="s">
        <v>20</v>
      </c>
      <c r="G619" s="3" t="s">
        <v>34</v>
      </c>
      <c r="H619" s="2" t="n">
        <v>5</v>
      </c>
      <c r="I619" s="2" t="n">
        <v>1</v>
      </c>
      <c r="J619" s="4" t="n">
        <v>305.96</v>
      </c>
      <c r="K619" s="4" t="n">
        <v>80.66</v>
      </c>
      <c r="L619" s="5" t="n">
        <f aca="false">IF(H619=0,0,I619/H619)</f>
        <v>0.2</v>
      </c>
      <c r="M619" s="6" t="n">
        <f aca="false">IF(I619=0,0,J619/I619)</f>
        <v>305.96</v>
      </c>
    </row>
    <row r="620" customFormat="false" ht="15" hidden="false" customHeight="false" outlineLevel="0" collapsed="false">
      <c r="A620" s="2" t="n">
        <v>619</v>
      </c>
      <c r="B620" s="3" t="s">
        <v>124</v>
      </c>
      <c r="C620" s="3" t="s">
        <v>94</v>
      </c>
      <c r="D620" s="3" t="s">
        <v>24</v>
      </c>
      <c r="E620" s="3" t="s">
        <v>16</v>
      </c>
      <c r="F620" s="3" t="s">
        <v>23</v>
      </c>
      <c r="G620" s="3" t="s">
        <v>21</v>
      </c>
      <c r="H620" s="2" t="n">
        <v>6</v>
      </c>
      <c r="I620" s="2" t="n">
        <v>0</v>
      </c>
      <c r="J620" s="4" t="n">
        <v>0</v>
      </c>
      <c r="K620" s="4" t="n">
        <v>0</v>
      </c>
      <c r="L620" s="5" t="n">
        <f aca="false">IF(H620=0,0,I620/H620)</f>
        <v>0</v>
      </c>
      <c r="M620" s="6" t="n">
        <f aca="false">IF(I620=0,0,J620/I620)</f>
        <v>0</v>
      </c>
    </row>
    <row r="621" customFormat="false" ht="15" hidden="false" customHeight="false" outlineLevel="0" collapsed="false">
      <c r="G621" s="7" t="s">
        <v>125</v>
      </c>
      <c r="H621" s="8" t="n">
        <f aca="false">SUM(H2:H620)</f>
        <v>4412</v>
      </c>
      <c r="I621" s="8" t="n">
        <f aca="false">SUM(I2:I620)</f>
        <v>870</v>
      </c>
      <c r="J621" s="9" t="n">
        <f aca="false">SUM(J2:J620)</f>
        <v>415008.91</v>
      </c>
      <c r="K621" s="9" t="n">
        <f aca="false">SUM(K2:K620)</f>
        <v>80407.12</v>
      </c>
      <c r="L621" s="10" t="n">
        <f aca="false">IF(H621=0,0,I621/H621)</f>
        <v>0.197189483227561</v>
      </c>
      <c r="M621" s="11"/>
    </row>
  </sheetData>
  <autoFilter ref="A1:M6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10" min="4" style="0" width="14"/>
    <col collapsed="false" customWidth="true" hidden="false" outlineLevel="0" max="11" min="11" style="0" width="18"/>
  </cols>
  <sheetData>
    <row r="1" customFormat="false" ht="17.35" hidden="false" customHeight="false" outlineLevel="0" collapsed="false">
      <c r="A1" s="12" t="s">
        <v>126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Format="false" ht="15" hidden="false" customHeight="false" outlineLevel="0" collapsed="false">
      <c r="A2" s="13" t="s">
        <v>127</v>
      </c>
    </row>
    <row r="4" customFormat="false" ht="15" hidden="false" customHeight="false" outlineLevel="0" collapsed="false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135</v>
      </c>
      <c r="I4" s="1" t="s">
        <v>136</v>
      </c>
      <c r="J4" s="1" t="s">
        <v>137</v>
      </c>
      <c r="K4" s="1" t="s">
        <v>138</v>
      </c>
    </row>
    <row r="5" customFormat="false" ht="15" hidden="false" customHeight="false" outlineLevel="0" collapsed="false">
      <c r="A5" s="14" t="s">
        <v>139</v>
      </c>
      <c r="B5" s="14" t="s">
        <v>140</v>
      </c>
      <c r="C5" s="15" t="s">
        <v>141</v>
      </c>
      <c r="D5" s="14" t="n">
        <v>2850</v>
      </c>
      <c r="E5" s="14" t="n">
        <v>410</v>
      </c>
      <c r="F5" s="16" t="n">
        <f aca="false">E5/D5</f>
        <v>0.143859649122807</v>
      </c>
      <c r="G5" s="17" t="n">
        <v>142000</v>
      </c>
      <c r="H5" s="14" t="s">
        <v>142</v>
      </c>
      <c r="I5" s="14" t="s">
        <v>142</v>
      </c>
      <c r="J5" s="14" t="s">
        <v>142</v>
      </c>
      <c r="K5" s="14" t="s">
        <v>142</v>
      </c>
    </row>
    <row r="6" customFormat="false" ht="15" hidden="false" customHeight="false" outlineLevel="0" collapsed="false">
      <c r="A6" s="18" t="s">
        <v>139</v>
      </c>
      <c r="B6" s="18" t="s">
        <v>143</v>
      </c>
      <c r="C6" s="19" t="s">
        <v>144</v>
      </c>
      <c r="D6" s="18" t="n">
        <v>2790</v>
      </c>
      <c r="E6" s="18" t="n">
        <v>495</v>
      </c>
      <c r="F6" s="20" t="n">
        <f aca="false">E6/D6</f>
        <v>0.17741935483871</v>
      </c>
      <c r="G6" s="21" t="n">
        <v>178500</v>
      </c>
      <c r="H6" s="20" t="n">
        <f aca="false">(F6-F5)/F5</f>
        <v>0.233280881195909</v>
      </c>
      <c r="I6" s="22" t="n">
        <v>0.0018</v>
      </c>
      <c r="J6" s="18" t="s">
        <v>145</v>
      </c>
      <c r="K6" s="18" t="s">
        <v>146</v>
      </c>
    </row>
    <row r="7" customFormat="false" ht="15" hidden="false" customHeight="false" outlineLevel="0" collapsed="false">
      <c r="A7" s="14" t="s">
        <v>147</v>
      </c>
      <c r="B7" s="14" t="s">
        <v>140</v>
      </c>
      <c r="C7" s="15" t="s">
        <v>148</v>
      </c>
      <c r="D7" s="14" t="n">
        <v>3600</v>
      </c>
      <c r="E7" s="14" t="n">
        <v>395</v>
      </c>
      <c r="F7" s="16" t="n">
        <f aca="false">E7/D7</f>
        <v>0.109722222222222</v>
      </c>
      <c r="G7" s="17" t="n">
        <v>68500</v>
      </c>
      <c r="H7" s="14" t="s">
        <v>142</v>
      </c>
      <c r="I7" s="14" t="s">
        <v>142</v>
      </c>
      <c r="J7" s="14" t="s">
        <v>142</v>
      </c>
      <c r="K7" s="14" t="s">
        <v>142</v>
      </c>
    </row>
    <row r="8" customFormat="false" ht="15" hidden="false" customHeight="false" outlineLevel="0" collapsed="false">
      <c r="A8" s="18" t="s">
        <v>147</v>
      </c>
      <c r="B8" s="18" t="s">
        <v>143</v>
      </c>
      <c r="C8" s="19" t="s">
        <v>149</v>
      </c>
      <c r="D8" s="18" t="n">
        <v>3550</v>
      </c>
      <c r="E8" s="18" t="n">
        <v>472</v>
      </c>
      <c r="F8" s="20" t="n">
        <f aca="false">E8/D8</f>
        <v>0.132957746478873</v>
      </c>
      <c r="G8" s="21" t="n">
        <v>89200</v>
      </c>
      <c r="H8" s="20" t="n">
        <f aca="false">(F8-F7)/F7</f>
        <v>0.211766803351756</v>
      </c>
      <c r="I8" s="22" t="n">
        <v>0.0032</v>
      </c>
      <c r="J8" s="18" t="s">
        <v>145</v>
      </c>
      <c r="K8" s="18" t="s">
        <v>150</v>
      </c>
    </row>
    <row r="10" customFormat="false" ht="15" hidden="false" customHeight="false" outlineLevel="0" collapsed="false">
      <c r="A10" s="23" t="s">
        <v>151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</row>
    <row r="12" customFormat="false" ht="15" hidden="false" customHeight="false" outlineLevel="0" collapsed="false">
      <c r="A12" s="24" t="s">
        <v>152</v>
      </c>
    </row>
    <row r="13" customFormat="false" ht="15" hidden="false" customHeight="false" outlineLevel="0" collapsed="false">
      <c r="A13" s="25" t="s">
        <v>153</v>
      </c>
    </row>
    <row r="14" customFormat="false" ht="15" hidden="false" customHeight="false" outlineLevel="0" collapsed="false">
      <c r="A14" s="25" t="s">
        <v>154</v>
      </c>
    </row>
    <row r="15" customFormat="false" ht="15" hidden="false" customHeight="false" outlineLevel="0" collapsed="false">
      <c r="A15" s="25" t="s">
        <v>155</v>
      </c>
    </row>
    <row r="16" customFormat="false" ht="15" hidden="false" customHeight="false" outlineLevel="0" collapsed="false">
      <c r="A16" s="25" t="s">
        <v>156</v>
      </c>
    </row>
  </sheetData>
  <mergeCells count="2">
    <mergeCell ref="A1:K1"/>
    <mergeCell ref="A10:K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2" t="s">
        <v>157</v>
      </c>
      <c r="B1" s="12"/>
      <c r="C1" s="12"/>
      <c r="D1" s="12"/>
      <c r="E1" s="12"/>
    </row>
    <row r="2" customFormat="false" ht="15" hidden="false" customHeight="false" outlineLevel="0" collapsed="false">
      <c r="A2" s="13" t="s">
        <v>158</v>
      </c>
    </row>
    <row r="4" customFormat="false" ht="15" hidden="false" customHeight="false" outlineLevel="0" collapsed="false">
      <c r="A4" s="26" t="s">
        <v>159</v>
      </c>
      <c r="B4" s="26"/>
    </row>
    <row r="5" customFormat="false" ht="15" hidden="false" customHeight="false" outlineLevel="0" collapsed="false">
      <c r="A5" s="1" t="s">
        <v>160</v>
      </c>
      <c r="B5" s="1" t="s">
        <v>161</v>
      </c>
    </row>
    <row r="6" customFormat="false" ht="15" hidden="false" customHeight="false" outlineLevel="0" collapsed="false">
      <c r="A6" s="27" t="s">
        <v>162</v>
      </c>
      <c r="B6" s="28" t="n">
        <f aca="false">SUM(Sales_Data!H2:H620)</f>
        <v>4412</v>
      </c>
    </row>
    <row r="7" customFormat="false" ht="15" hidden="false" customHeight="false" outlineLevel="0" collapsed="false">
      <c r="A7" s="27" t="s">
        <v>163</v>
      </c>
      <c r="B7" s="28" t="n">
        <f aca="false">SUM(Sales_Data!I2:I620)</f>
        <v>870</v>
      </c>
    </row>
    <row r="8" customFormat="false" ht="15" hidden="false" customHeight="false" outlineLevel="0" collapsed="false">
      <c r="A8" s="27" t="s">
        <v>164</v>
      </c>
      <c r="B8" s="29" t="n">
        <f aca="false">SUM(Sales_Data!J2:J620)</f>
        <v>415008.91</v>
      </c>
    </row>
    <row r="9" customFormat="false" ht="15" hidden="false" customHeight="false" outlineLevel="0" collapsed="false">
      <c r="A9" s="27" t="s">
        <v>165</v>
      </c>
      <c r="B9" s="29" t="n">
        <f aca="false">SUM(Sales_Data!K2:K620)</f>
        <v>80407.12</v>
      </c>
    </row>
    <row r="10" customFormat="false" ht="15" hidden="false" customHeight="false" outlineLevel="0" collapsed="false">
      <c r="A10" s="27" t="s">
        <v>166</v>
      </c>
      <c r="B10" s="30" t="n">
        <f aca="false">IF(B6=0,0,B7/B6)</f>
        <v>0.197189483227561</v>
      </c>
    </row>
    <row r="11" customFormat="false" ht="15" hidden="false" customHeight="false" outlineLevel="0" collapsed="false">
      <c r="A11" s="27" t="s">
        <v>167</v>
      </c>
      <c r="B11" s="29" t="n">
        <f aca="false">IF(B7=0,0,B8/B7)</f>
        <v>477.021735632184</v>
      </c>
    </row>
    <row r="13" customFormat="false" ht="15" hidden="false" customHeight="false" outlineLevel="0" collapsed="false">
      <c r="A13" s="26" t="s">
        <v>168</v>
      </c>
      <c r="B13" s="26"/>
      <c r="C13" s="26"/>
      <c r="D13" s="26"/>
      <c r="E13" s="26"/>
    </row>
    <row r="14" customFormat="false" ht="15" hidden="false" customHeight="false" outlineLevel="0" collapsed="false">
      <c r="A14" s="1" t="s">
        <v>169</v>
      </c>
      <c r="B14" s="1" t="s">
        <v>7</v>
      </c>
      <c r="C14" s="1" t="s">
        <v>8</v>
      </c>
      <c r="D14" s="1" t="s">
        <v>170</v>
      </c>
      <c r="E14" s="1" t="s">
        <v>133</v>
      </c>
    </row>
    <row r="15" customFormat="false" ht="15" hidden="false" customHeight="false" outlineLevel="0" collapsed="false">
      <c r="A15" s="31" t="s">
        <v>19</v>
      </c>
      <c r="B15" s="32" t="n">
        <f aca="false">SUMIF(Sales_Data!D:D,A15,Sales_Data!H:H)</f>
        <v>1339</v>
      </c>
      <c r="C15" s="32" t="n">
        <f aca="false">SUMIF(Sales_Data!D:D,A15,Sales_Data!I:I)</f>
        <v>231</v>
      </c>
      <c r="D15" s="33" t="n">
        <f aca="false">SUMIF(Sales_Data!D:D,A15,Sales_Data!J:J)</f>
        <v>201076.33</v>
      </c>
      <c r="E15" s="34" t="n">
        <f aca="false">IF(B15=0,0,C15/B15)</f>
        <v>0.172516803584765</v>
      </c>
    </row>
    <row r="16" customFormat="false" ht="15" hidden="false" customHeight="false" outlineLevel="0" collapsed="false">
      <c r="A16" s="31" t="s">
        <v>22</v>
      </c>
      <c r="B16" s="32" t="n">
        <f aca="false">SUMIF(Sales_Data!D:D,A16,Sales_Data!H:H)</f>
        <v>915</v>
      </c>
      <c r="C16" s="32" t="n">
        <f aca="false">SUMIF(Sales_Data!D:D,A16,Sales_Data!I:I)</f>
        <v>230</v>
      </c>
      <c r="D16" s="33" t="n">
        <f aca="false">SUMIF(Sales_Data!D:D,A16,Sales_Data!J:J)</f>
        <v>27845.3</v>
      </c>
      <c r="E16" s="34" t="n">
        <f aca="false">IF(B16=0,0,C16/B16)</f>
        <v>0.251366120218579</v>
      </c>
    </row>
    <row r="17" customFormat="false" ht="15" hidden="false" customHeight="false" outlineLevel="0" collapsed="false">
      <c r="A17" s="31" t="s">
        <v>24</v>
      </c>
      <c r="B17" s="32" t="n">
        <f aca="false">SUMIF(Sales_Data!D:D,A17,Sales_Data!H:H)</f>
        <v>942</v>
      </c>
      <c r="C17" s="32" t="n">
        <f aca="false">SUMIF(Sales_Data!D:D,A17,Sales_Data!I:I)</f>
        <v>220</v>
      </c>
      <c r="D17" s="33" t="n">
        <f aca="false">SUMIF(Sales_Data!D:D,A17,Sales_Data!J:J)</f>
        <v>65272.84</v>
      </c>
      <c r="E17" s="34" t="n">
        <f aca="false">IF(B17=0,0,C17/B17)</f>
        <v>0.233545647558386</v>
      </c>
    </row>
    <row r="18" customFormat="false" ht="15" hidden="false" customHeight="false" outlineLevel="0" collapsed="false">
      <c r="A18" s="31" t="s">
        <v>15</v>
      </c>
      <c r="B18" s="32" t="n">
        <f aca="false">SUMIF(Sales_Data!D:D,A18,Sales_Data!H:H)</f>
        <v>705</v>
      </c>
      <c r="C18" s="32" t="n">
        <f aca="false">SUMIF(Sales_Data!D:D,A18,Sales_Data!I:I)</f>
        <v>121</v>
      </c>
      <c r="D18" s="33" t="n">
        <f aca="false">SUMIF(Sales_Data!D:D,A18,Sales_Data!J:J)</f>
        <v>22886.96</v>
      </c>
      <c r="E18" s="34" t="n">
        <f aca="false">IF(B18=0,0,C18/B18)</f>
        <v>0.171631205673759</v>
      </c>
    </row>
    <row r="19" customFormat="false" ht="15" hidden="false" customHeight="false" outlineLevel="0" collapsed="false">
      <c r="A19" s="31" t="s">
        <v>27</v>
      </c>
      <c r="B19" s="32" t="n">
        <f aca="false">SUMIF(Sales_Data!D:D,A19,Sales_Data!H:H)</f>
        <v>511</v>
      </c>
      <c r="C19" s="32" t="n">
        <f aca="false">SUMIF(Sales_Data!D:D,A19,Sales_Data!I:I)</f>
        <v>68</v>
      </c>
      <c r="D19" s="33" t="n">
        <f aca="false">SUMIF(Sales_Data!D:D,A19,Sales_Data!J:J)</f>
        <v>97927.48</v>
      </c>
      <c r="E19" s="34" t="n">
        <f aca="false">IF(B19=0,0,C19/B19)</f>
        <v>0.13307240704501</v>
      </c>
    </row>
    <row r="22" customFormat="false" ht="15" hidden="false" customHeight="false" outlineLevel="0" collapsed="false">
      <c r="A22" s="26" t="s">
        <v>171</v>
      </c>
      <c r="B22" s="26"/>
      <c r="C22" s="26"/>
      <c r="D22" s="26"/>
      <c r="E22" s="26"/>
    </row>
    <row r="23" customFormat="false" ht="15" hidden="false" customHeight="false" outlineLevel="0" collapsed="false">
      <c r="A23" s="1" t="s">
        <v>172</v>
      </c>
      <c r="B23" s="1" t="s">
        <v>7</v>
      </c>
      <c r="C23" s="1" t="s">
        <v>8</v>
      </c>
      <c r="D23" s="1" t="s">
        <v>170</v>
      </c>
      <c r="E23" s="1" t="s">
        <v>133</v>
      </c>
    </row>
    <row r="24" customFormat="false" ht="15" hidden="false" customHeight="false" outlineLevel="0" collapsed="false">
      <c r="A24" s="31" t="s">
        <v>16</v>
      </c>
      <c r="B24" s="32" t="n">
        <f aca="false">SUMIF(Sales_Data!E:E,A24,Sales_Data!H:H)</f>
        <v>1620</v>
      </c>
      <c r="C24" s="32" t="n">
        <f aca="false">SUMIF(Sales_Data!E:E,A24,Sales_Data!I:I)</f>
        <v>319</v>
      </c>
      <c r="D24" s="33" t="n">
        <f aca="false">SUMIF(Sales_Data!E:E,A24,Sales_Data!J:J)</f>
        <v>154859.49</v>
      </c>
      <c r="E24" s="34" t="n">
        <f aca="false">IF(B24=0,0,C24/B24)</f>
        <v>0.196913580246914</v>
      </c>
    </row>
    <row r="25" customFormat="false" ht="15" hidden="false" customHeight="false" outlineLevel="0" collapsed="false">
      <c r="A25" s="31" t="s">
        <v>25</v>
      </c>
      <c r="B25" s="32" t="n">
        <f aca="false">SUMIF(Sales_Data!E:E,A25,Sales_Data!H:H)</f>
        <v>1295</v>
      </c>
      <c r="C25" s="32" t="n">
        <f aca="false">SUMIF(Sales_Data!E:E,A25,Sales_Data!I:I)</f>
        <v>257</v>
      </c>
      <c r="D25" s="33" t="n">
        <f aca="false">SUMIF(Sales_Data!E:E,A25,Sales_Data!J:J)</f>
        <v>121995.55</v>
      </c>
      <c r="E25" s="34" t="n">
        <f aca="false">IF(B25=0,0,C25/B25)</f>
        <v>0.198455598455598</v>
      </c>
    </row>
    <row r="26" customFormat="false" ht="15" hidden="false" customHeight="false" outlineLevel="0" collapsed="false">
      <c r="A26" s="31" t="s">
        <v>33</v>
      </c>
      <c r="B26" s="32" t="n">
        <f aca="false">SUMIF(Sales_Data!E:E,A26,Sales_Data!H:H)</f>
        <v>762</v>
      </c>
      <c r="C26" s="32" t="n">
        <f aca="false">SUMIF(Sales_Data!E:E,A26,Sales_Data!I:I)</f>
        <v>156</v>
      </c>
      <c r="D26" s="33" t="n">
        <f aca="false">SUMIF(Sales_Data!E:E,A26,Sales_Data!J:J)</f>
        <v>62934.25</v>
      </c>
      <c r="E26" s="34" t="n">
        <f aca="false">IF(B26=0,0,C26/B26)</f>
        <v>0.204724409448819</v>
      </c>
    </row>
    <row r="27" customFormat="false" ht="15" hidden="false" customHeight="false" outlineLevel="0" collapsed="false">
      <c r="A27" s="31" t="s">
        <v>28</v>
      </c>
      <c r="B27" s="32" t="n">
        <f aca="false">SUMIF(Sales_Data!E:E,A27,Sales_Data!H:H)</f>
        <v>735</v>
      </c>
      <c r="C27" s="32" t="n">
        <f aca="false">SUMIF(Sales_Data!E:E,A27,Sales_Data!I:I)</f>
        <v>138</v>
      </c>
      <c r="D27" s="33" t="n">
        <f aca="false">SUMIF(Sales_Data!E:E,A27,Sales_Data!J:J)</f>
        <v>75219.62</v>
      </c>
      <c r="E27" s="34" t="n">
        <f aca="false">IF(B27=0,0,C27/B27)</f>
        <v>0.187755102040816</v>
      </c>
    </row>
    <row r="30" customFormat="false" ht="15" hidden="false" customHeight="false" outlineLevel="0" collapsed="false">
      <c r="A30" s="24" t="s">
        <v>152</v>
      </c>
    </row>
    <row r="31" customFormat="false" ht="15" hidden="false" customHeight="false" outlineLevel="0" collapsed="false">
      <c r="A31" s="25" t="s">
        <v>173</v>
      </c>
    </row>
    <row r="32" customFormat="false" ht="15" hidden="false" customHeight="false" outlineLevel="0" collapsed="false">
      <c r="A32" s="25" t="s">
        <v>174</v>
      </c>
    </row>
    <row r="33" customFormat="false" ht="15" hidden="false" customHeight="false" outlineLevel="0" collapsed="false">
      <c r="A33" s="25" t="s">
        <v>175</v>
      </c>
    </row>
  </sheetData>
  <mergeCells count="4">
    <mergeCell ref="A1:E1"/>
    <mergeCell ref="A4:B4"/>
    <mergeCell ref="A13:E13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5" min="4" style="0" width="14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2" t="s">
        <v>176</v>
      </c>
      <c r="B1" s="12"/>
      <c r="C1" s="12"/>
      <c r="D1" s="12"/>
      <c r="E1" s="12"/>
      <c r="F1" s="12"/>
    </row>
    <row r="2" customFormat="false" ht="15" hidden="false" customHeight="false" outlineLevel="0" collapsed="false">
      <c r="A2" s="13" t="s">
        <v>177</v>
      </c>
    </row>
    <row r="4" customFormat="false" ht="15" hidden="false" customHeight="false" outlineLevel="0" collapsed="false">
      <c r="A4" s="1" t="s">
        <v>178</v>
      </c>
      <c r="B4" s="1" t="s">
        <v>7</v>
      </c>
      <c r="C4" s="1" t="s">
        <v>8</v>
      </c>
      <c r="D4" s="1" t="s">
        <v>170</v>
      </c>
      <c r="E4" s="1" t="s">
        <v>134</v>
      </c>
      <c r="F4" s="1" t="s">
        <v>133</v>
      </c>
    </row>
    <row r="5" customFormat="false" ht="15" hidden="false" customHeight="false" outlineLevel="0" collapsed="false">
      <c r="A5" s="31" t="s">
        <v>14</v>
      </c>
      <c r="B5" s="32" t="n">
        <f aca="false">SUMIF(Sales_Data!C:C,A5,Sales_Data!H:H)</f>
        <v>1390</v>
      </c>
      <c r="C5" s="32" t="n">
        <f aca="false">SUMIF(Sales_Data!C:C,A5,Sales_Data!I:I)</f>
        <v>286</v>
      </c>
      <c r="D5" s="33" t="n">
        <f aca="false">SUMIF(Sales_Data!C:C,A5,Sales_Data!J:J)</f>
        <v>129133.25</v>
      </c>
      <c r="E5" s="33" t="n">
        <f aca="false">SUMIF(Sales_Data!C:C,A5,Sales_Data!K:K)</f>
        <v>26265.06</v>
      </c>
      <c r="F5" s="34" t="n">
        <f aca="false">IF(B5=0,0,C5/B5)</f>
        <v>0.205755395683453</v>
      </c>
    </row>
    <row r="6" customFormat="false" ht="15" hidden="false" customHeight="false" outlineLevel="0" collapsed="false">
      <c r="A6" s="31" t="s">
        <v>65</v>
      </c>
      <c r="B6" s="32" t="n">
        <f aca="false">SUMIF(Sales_Data!C:C,A6,Sales_Data!H:H)</f>
        <v>1495</v>
      </c>
      <c r="C6" s="32" t="n">
        <f aca="false">SUMIF(Sales_Data!C:C,A6,Sales_Data!I:I)</f>
        <v>295</v>
      </c>
      <c r="D6" s="33" t="n">
        <f aca="false">SUMIF(Sales_Data!C:C,A6,Sales_Data!J:J)</f>
        <v>151070.74</v>
      </c>
      <c r="E6" s="33" t="n">
        <f aca="false">SUMIF(Sales_Data!C:C,A6,Sales_Data!K:K)</f>
        <v>28627.65</v>
      </c>
      <c r="F6" s="34" t="n">
        <f aca="false">IF(B6=0,0,C6/B6)</f>
        <v>0.197324414715719</v>
      </c>
    </row>
    <row r="7" customFormat="false" ht="15" hidden="false" customHeight="false" outlineLevel="0" collapsed="false">
      <c r="A7" s="31" t="s">
        <v>94</v>
      </c>
      <c r="B7" s="32" t="n">
        <f aca="false">SUMIF(Sales_Data!C:C,A7,Sales_Data!H:H)</f>
        <v>1527</v>
      </c>
      <c r="C7" s="32" t="n">
        <f aca="false">SUMIF(Sales_Data!C:C,A7,Sales_Data!I:I)</f>
        <v>289</v>
      </c>
      <c r="D7" s="33" t="n">
        <f aca="false">SUMIF(Sales_Data!C:C,A7,Sales_Data!J:J)</f>
        <v>134804.92</v>
      </c>
      <c r="E7" s="33" t="n">
        <f aca="false">SUMIF(Sales_Data!C:C,A7,Sales_Data!K:K)</f>
        <v>25514.41</v>
      </c>
      <c r="F7" s="34" t="n">
        <f aca="false">IF(B7=0,0,C7/B7)</f>
        <v>0.189259986902423</v>
      </c>
    </row>
    <row r="8" customFormat="false" ht="15" hidden="false" customHeight="false" outlineLevel="0" collapsed="false">
      <c r="A8" s="7" t="s">
        <v>179</v>
      </c>
      <c r="B8" s="7" t="n">
        <f aca="false">SUM(B5:B7)</f>
        <v>4412</v>
      </c>
      <c r="C8" s="7" t="n">
        <f aca="false">SUM(C5:C7)</f>
        <v>870</v>
      </c>
      <c r="D8" s="35" t="n">
        <f aca="false">SUM(D5:D7)</f>
        <v>415008.91</v>
      </c>
      <c r="E8" s="35" t="n">
        <f aca="false">SUM(E5:E7)</f>
        <v>80407.12</v>
      </c>
      <c r="F8" s="36" t="n">
        <f aca="false">IF(B8=0,0,C8/B8)</f>
        <v>0.197189483227561</v>
      </c>
    </row>
    <row r="10" customFormat="false" ht="15" hidden="false" customHeight="false" outlineLevel="0" collapsed="false">
      <c r="A10" s="26" t="s">
        <v>180</v>
      </c>
      <c r="B10" s="26"/>
      <c r="C10" s="26"/>
      <c r="D10" s="26"/>
      <c r="E10" s="26"/>
      <c r="F10" s="26"/>
    </row>
    <row r="11" customFormat="false" ht="15" hidden="false" customHeight="false" outlineLevel="0" collapsed="false">
      <c r="A11" s="37" t="s">
        <v>181</v>
      </c>
      <c r="B11" s="37"/>
      <c r="C11" s="37"/>
      <c r="D11" s="37"/>
      <c r="E11" s="37"/>
      <c r="F11" s="37"/>
    </row>
    <row r="12" customFormat="false" ht="15" hidden="false" customHeight="false" outlineLevel="0" collapsed="false">
      <c r="A12" s="37" t="s">
        <v>182</v>
      </c>
      <c r="B12" s="37"/>
      <c r="C12" s="37"/>
      <c r="D12" s="37"/>
      <c r="E12" s="37"/>
      <c r="F12" s="37"/>
    </row>
    <row r="13" customFormat="false" ht="15" hidden="false" customHeight="false" outlineLevel="0" collapsed="false">
      <c r="A13" s="37" t="s">
        <v>183</v>
      </c>
      <c r="B13" s="37"/>
      <c r="C13" s="37"/>
      <c r="D13" s="37"/>
      <c r="E13" s="37"/>
      <c r="F13" s="37"/>
    </row>
    <row r="14" customFormat="false" ht="15" hidden="false" customHeight="false" outlineLevel="0" collapsed="false">
      <c r="A14" s="37" t="s">
        <v>184</v>
      </c>
      <c r="B14" s="37"/>
      <c r="C14" s="37"/>
      <c r="D14" s="37"/>
      <c r="E14" s="37"/>
      <c r="F14" s="37"/>
    </row>
    <row r="16" customFormat="false" ht="15" hidden="false" customHeight="false" outlineLevel="0" collapsed="false">
      <c r="A16" s="24" t="s">
        <v>152</v>
      </c>
    </row>
    <row r="17" customFormat="false" ht="15" hidden="false" customHeight="false" outlineLevel="0" collapsed="false">
      <c r="A17" s="25" t="s">
        <v>185</v>
      </c>
    </row>
    <row r="18" customFormat="false" ht="15" hidden="false" customHeight="false" outlineLevel="0" collapsed="false">
      <c r="A18" s="25" t="s">
        <v>186</v>
      </c>
    </row>
    <row r="19" customFormat="false" ht="15" hidden="false" customHeight="false" outlineLevel="0" collapsed="false">
      <c r="A19" s="25" t="s">
        <v>187</v>
      </c>
    </row>
  </sheetData>
  <mergeCells count="6">
    <mergeCell ref="A1:F1"/>
    <mergeCell ref="A10:F10"/>
    <mergeCell ref="A11:F11"/>
    <mergeCell ref="A12:F12"/>
    <mergeCell ref="A13:F1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2" t="s">
        <v>188</v>
      </c>
      <c r="B1" s="12"/>
      <c r="C1" s="12"/>
      <c r="D1" s="12"/>
      <c r="E1" s="12"/>
    </row>
    <row r="2" customFormat="false" ht="15" hidden="false" customHeight="false" outlineLevel="0" collapsed="false">
      <c r="A2" s="13" t="s">
        <v>189</v>
      </c>
    </row>
    <row r="4" customFormat="false" ht="15" hidden="false" customHeight="false" outlineLevel="0" collapsed="false">
      <c r="A4" s="1" t="s">
        <v>190</v>
      </c>
      <c r="B4" s="1" t="s">
        <v>191</v>
      </c>
      <c r="C4" s="1" t="s">
        <v>192</v>
      </c>
      <c r="D4" s="1" t="s">
        <v>193</v>
      </c>
      <c r="E4" s="1" t="s">
        <v>194</v>
      </c>
    </row>
    <row r="5" customFormat="false" ht="15" hidden="false" customHeight="false" outlineLevel="0" collapsed="false">
      <c r="A5" s="38" t="s">
        <v>195</v>
      </c>
      <c r="B5" s="19" t="s">
        <v>196</v>
      </c>
      <c r="C5" s="18" t="s">
        <v>197</v>
      </c>
      <c r="D5" s="18" t="s">
        <v>198</v>
      </c>
      <c r="E5" s="18" t="s">
        <v>199</v>
      </c>
    </row>
    <row r="6" customFormat="false" ht="15" hidden="false" customHeight="false" outlineLevel="0" collapsed="false">
      <c r="A6" s="38" t="s">
        <v>195</v>
      </c>
      <c r="B6" s="19" t="s">
        <v>200</v>
      </c>
      <c r="C6" s="18" t="s">
        <v>201</v>
      </c>
      <c r="D6" s="18" t="s">
        <v>202</v>
      </c>
      <c r="E6" s="18" t="s">
        <v>203</v>
      </c>
    </row>
    <row r="7" customFormat="false" ht="15" hidden="false" customHeight="false" outlineLevel="0" collapsed="false">
      <c r="A7" s="39" t="s">
        <v>204</v>
      </c>
      <c r="B7" s="15" t="s">
        <v>205</v>
      </c>
      <c r="C7" s="14" t="s">
        <v>3</v>
      </c>
      <c r="D7" s="14" t="s">
        <v>206</v>
      </c>
      <c r="E7" s="14" t="s">
        <v>207</v>
      </c>
    </row>
    <row r="8" customFormat="false" ht="15" hidden="false" customHeight="false" outlineLevel="0" collapsed="false">
      <c r="A8" s="39" t="s">
        <v>204</v>
      </c>
      <c r="B8" s="15" t="s">
        <v>208</v>
      </c>
      <c r="C8" s="14" t="s">
        <v>209</v>
      </c>
      <c r="D8" s="14" t="s">
        <v>210</v>
      </c>
      <c r="E8" s="14" t="s">
        <v>211</v>
      </c>
    </row>
    <row r="10" customFormat="false" ht="15" hidden="false" customHeight="false" outlineLevel="0" collapsed="false">
      <c r="A10" s="24" t="s">
        <v>152</v>
      </c>
    </row>
    <row r="11" customFormat="false" ht="15" hidden="false" customHeight="false" outlineLevel="0" collapsed="false">
      <c r="A11" s="25" t="s">
        <v>212</v>
      </c>
    </row>
    <row r="12" customFormat="false" ht="15" hidden="false" customHeight="false" outlineLevel="0" collapsed="false">
      <c r="A12" s="25" t="s">
        <v>213</v>
      </c>
    </row>
    <row r="13" customFormat="false" ht="15" hidden="false" customHeight="false" outlineLevel="0" collapsed="false">
      <c r="A13" s="25" t="s">
        <v>214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2026-08-14T10:42:19Z</dcterms:created>
  <dc:creator>openpyxl</dc:creator>
  <dc:description/>
  <dc:language>en-US</dc:language>
  <cp:lastModifiedBy/>
  <dcterms:modified xsi:type="dcterms:W3CDTF">2026-08-14T10:42:20Z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